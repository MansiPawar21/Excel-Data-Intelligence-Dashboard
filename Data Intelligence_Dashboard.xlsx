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ansi\Downloads\"/>
    </mc:Choice>
  </mc:AlternateContent>
  <xr:revisionPtr revIDLastSave="0" documentId="13_ncr:1_{8CCB42FC-743C-4502-8B77-B6CD62FB9636}" xr6:coauthVersionLast="47" xr6:coauthVersionMax="47" xr10:uidLastSave="{00000000-0000-0000-0000-000000000000}"/>
  <bookViews>
    <workbookView xWindow="-108" yWindow="-108" windowWidth="23256" windowHeight="12456" tabRatio="500" xr2:uid="{00000000-000D-0000-FFFF-FFFF00000000}"/>
  </bookViews>
  <sheets>
    <sheet name="DASHBOARD" sheetId="10" r:id="rId1"/>
    <sheet name="Raw Data" sheetId="2" r:id="rId2"/>
    <sheet name="Analysis" sheetId="3" r:id="rId3"/>
    <sheet name="Visualization" sheetId="8" r:id="rId4"/>
  </sheets>
  <externalReferences>
    <externalReference r:id="rId5"/>
  </externalReferences>
  <definedNames>
    <definedName name="_xlcn.WorksheetConnection_PR_Final_Project_Dashboard1.xlsxTable11" hidden="1">Table1[]</definedName>
    <definedName name="Slicer_Category">#N/A</definedName>
  </definedNames>
  <calcPr calcId="191029" iterateDelta="1E-4"/>
  <pivotCaches>
    <pivotCache cacheId="186" r:id="rId6"/>
    <pivotCache cacheId="189" r:id="rId7"/>
    <pivotCache cacheId="192" r:id="rId8"/>
    <pivotCache cacheId="280" r:id="rId9"/>
    <pivotCache cacheId="375" r:id="rId10"/>
    <pivotCache cacheId="399" r:id="rId11"/>
  </pivotCaches>
  <extLst>
    <ext xmlns:x14="http://schemas.microsoft.com/office/spreadsheetml/2009/9/main" uri="{876F7934-8845-4945-9796-88D515C7AA90}">
      <x14:pivotCaches>
        <pivotCache cacheId="182"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PR_Final_Project_Dashboard (1).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3" l="1"/>
  <c r="B31" i="3"/>
  <c r="B11" i="3"/>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G76" i="3"/>
  <c r="C98" i="3"/>
  <c r="B98" i="3"/>
  <c r="C97" i="3"/>
  <c r="B97" i="3"/>
  <c r="D97" i="3" s="1"/>
  <c r="C96" i="3"/>
  <c r="B96" i="3"/>
  <c r="D96" i="3" s="1"/>
  <c r="C95" i="3"/>
  <c r="B95" i="3"/>
  <c r="C94" i="3"/>
  <c r="B94" i="3"/>
  <c r="C20" i="3"/>
  <c r="C19" i="3"/>
  <c r="C18" i="3"/>
  <c r="C17" i="3"/>
  <c r="C16" i="3"/>
  <c r="G90" i="3"/>
  <c r="D90" i="3"/>
  <c r="C90" i="3"/>
  <c r="G89" i="3"/>
  <c r="D89" i="3"/>
  <c r="C89" i="3"/>
  <c r="G88" i="3"/>
  <c r="D88" i="3"/>
  <c r="C88" i="3"/>
  <c r="G87" i="3"/>
  <c r="D87" i="3"/>
  <c r="C87" i="3"/>
  <c r="G86" i="3"/>
  <c r="D86" i="3"/>
  <c r="C86" i="3"/>
  <c r="G85" i="3"/>
  <c r="D85" i="3"/>
  <c r="C85" i="3"/>
  <c r="G84" i="3"/>
  <c r="D84" i="3"/>
  <c r="C84" i="3"/>
  <c r="G83" i="3"/>
  <c r="D83" i="3"/>
  <c r="C83" i="3"/>
  <c r="G82" i="3"/>
  <c r="D82" i="3"/>
  <c r="C82" i="3"/>
  <c r="G81" i="3"/>
  <c r="D81" i="3"/>
  <c r="C81" i="3"/>
  <c r="G80" i="3"/>
  <c r="D80" i="3"/>
  <c r="C80" i="3"/>
  <c r="G79" i="3"/>
  <c r="D79" i="3"/>
  <c r="C79" i="3"/>
  <c r="G78" i="3"/>
  <c r="D78" i="3"/>
  <c r="C78" i="3"/>
  <c r="G77" i="3"/>
  <c r="D77" i="3"/>
  <c r="C77" i="3"/>
  <c r="D76" i="3"/>
  <c r="C76" i="3"/>
  <c r="B71" i="3"/>
  <c r="B70" i="3"/>
  <c r="B69" i="3"/>
  <c r="B68" i="3"/>
  <c r="B72" i="3" s="1"/>
  <c r="B7" i="3"/>
  <c r="B6" i="3"/>
  <c r="B5" i="3"/>
  <c r="B4" i="3"/>
  <c r="B3" i="3"/>
  <c r="C25" i="3"/>
  <c r="C24" i="3"/>
  <c r="C32" i="3"/>
  <c r="C31" i="3"/>
  <c r="C63" i="3"/>
  <c r="C62" i="3"/>
  <c r="C61" i="3"/>
  <c r="C60" i="3"/>
  <c r="C59" i="3"/>
  <c r="C58" i="3"/>
  <c r="C57" i="3"/>
  <c r="C56" i="3"/>
  <c r="C55" i="3"/>
  <c r="C54" i="3"/>
  <c r="C53" i="3"/>
  <c r="C52" i="3"/>
  <c r="D46" i="3"/>
  <c r="C46" i="3"/>
  <c r="B46" i="3"/>
  <c r="D45" i="3"/>
  <c r="C45" i="3"/>
  <c r="B45" i="3"/>
  <c r="D44" i="3"/>
  <c r="C44" i="3"/>
  <c r="B44" i="3"/>
  <c r="D43" i="3"/>
  <c r="C43" i="3"/>
  <c r="B43" i="3"/>
  <c r="D42" i="3"/>
  <c r="C42" i="3"/>
  <c r="B42" i="3"/>
  <c r="D41" i="3"/>
  <c r="C41" i="3"/>
  <c r="B41" i="3"/>
  <c r="D40" i="3"/>
  <c r="C40" i="3"/>
  <c r="B40" i="3"/>
  <c r="D39" i="3"/>
  <c r="C39" i="3"/>
  <c r="B39" i="3"/>
  <c r="D38" i="3"/>
  <c r="C38" i="3"/>
  <c r="B38" i="3"/>
  <c r="D37" i="3"/>
  <c r="C37" i="3"/>
  <c r="B37" i="3"/>
  <c r="D98" i="3" l="1"/>
  <c r="E81" i="3"/>
  <c r="D95" i="3"/>
  <c r="D94" i="3"/>
  <c r="E80" i="3"/>
  <c r="E78" i="3"/>
  <c r="E90" i="3"/>
  <c r="E83" i="3"/>
  <c r="E89" i="3"/>
  <c r="E88" i="3"/>
  <c r="E87" i="3"/>
  <c r="E79" i="3"/>
  <c r="B20" i="3"/>
  <c r="D20" i="3" s="1"/>
  <c r="B19" i="3"/>
  <c r="D19" i="3" s="1"/>
  <c r="B18" i="3"/>
  <c r="D18" i="3" s="1"/>
  <c r="B17" i="3"/>
  <c r="D17" i="3" s="1"/>
  <c r="B16" i="3"/>
  <c r="D16" i="3" s="1"/>
  <c r="E82" i="3"/>
  <c r="E85" i="3"/>
  <c r="E76" i="3"/>
  <c r="E86" i="3"/>
  <c r="E84" i="3"/>
  <c r="E77" i="3"/>
  <c r="D32" i="3"/>
  <c r="D31" i="3"/>
  <c r="B4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38B1A8-88FB-4824-BF0D-65A665A367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7D1A90A-AD31-4734-97FD-E6B8CEF508E0}" name="WorksheetConnection_PR_Final_Project_Dashboard (1).xlsx!Table1" type="102" refreshedVersion="8" minRefreshableVersion="5">
    <extLst>
      <ext xmlns:x15="http://schemas.microsoft.com/office/spreadsheetml/2010/11/main" uri="{DE250136-89BD-433C-8126-D09CA5730AF9}">
        <x15:connection id="Table1" autoDelete="1">
          <x15:rangePr sourceName="_xlcn.WorksheetConnection_PR_Final_Project_Dashboard1.xlsxTable11"/>
        </x15:connection>
      </ext>
    </extLst>
  </connection>
</connections>
</file>

<file path=xl/sharedStrings.xml><?xml version="1.0" encoding="utf-8"?>
<sst xmlns="http://schemas.openxmlformats.org/spreadsheetml/2006/main" count="2497" uniqueCount="494">
  <si>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</si>
  <si>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</si>
  <si>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</si>
  <si>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</si>
  <si>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</si>
  <si>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</si>
  <si>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</si>
  <si>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</si>
  <si>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</si>
  <si>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</si>
  <si>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</si>
  <si>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</si>
  <si>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</si>
  <si>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</si>
  <si>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</si>
  <si>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</si>
  <si>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</si>
  <si>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</si>
  <si>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</si>
  <si>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</si>
  <si>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</si>
  <si>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</si>
  <si>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</si>
  <si>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</si>
  <si>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</si>
  <si>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</si>
  <si>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</si>
  <si>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</si>
  <si>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</si>
  <si>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</si>
  <si>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</si>
  <si>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</si>
  <si>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</si>
  <si>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</si>
  <si>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</si>
  <si>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</si>
  <si>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</si>
  <si>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</si>
  <si>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</si>
  <si>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</si>
  <si>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</si>
  <si>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</si>
  <si>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</si>
  <si>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</si>
  <si>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</si>
  <si>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</si>
  <si>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</si>
  <si>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</si>
  <si>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</si>
  <si>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</si>
  <si>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</si>
  <si>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</si>
  <si>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</si>
  <si>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</si>
  <si>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</si>
  <si>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</si>
  <si>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</si>
  <si>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</si>
  <si>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</si>
  <si>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</si>
  <si>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</si>
  <si>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</si>
  <si>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</si>
  <si>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</si>
  <si>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</si>
  <si>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</si>
  <si>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</si>
  <si>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</si>
  <si>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</si>
  <si>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</si>
  <si>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</si>
  <si>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</si>
  <si>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</si>
  <si>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</si>
  <si>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</si>
  <si>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</si>
  <si>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</si>
  <si>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</si>
  <si>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</si>
  <si>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</si>
  <si>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</si>
  <si>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</si>
  <si>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</si>
  <si>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</si>
  <si>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</si>
  <si>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</si>
  <si>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</si>
  <si>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</si>
  <si>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</si>
  <si>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</si>
  <si>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</si>
  <si>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</si>
  <si>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</si>
  <si>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</si>
  <si>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</si>
  <si>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</si>
  <si>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</si>
  <si>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</si>
  <si>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</si>
  <si>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</si>
  <si>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</si>
  <si>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</si>
  <si>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</si>
  <si>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</si>
  <si>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</si>
  <si>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</si>
  <si>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</si>
  <si>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</si>
  <si>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</si>
  <si>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</si>
  <si>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</si>
  <si>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</si>
  <si>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</si>
  <si>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</si>
  <si>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</si>
  <si>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</si>
  <si>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</si>
  <si>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</si>
  <si>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</si>
  <si>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</si>
  <si>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</si>
  <si>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</si>
  <si>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</si>
  <si>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</si>
  <si>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</si>
  <si>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</si>
  <si>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</si>
  <si>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</si>
  <si>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</si>
  <si>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</si>
  <si>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</si>
  <si>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</si>
  <si>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</si>
  <si>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</si>
  <si>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</si>
  <si>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</si>
  <si>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</si>
  <si>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</si>
  <si>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</si>
  <si>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</si>
  <si>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</si>
  <si>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</si>
  <si>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</si>
  <si>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</si>
  <si>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</si>
  <si>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</si>
  <si>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</si>
  <si>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</si>
  <si>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</si>
  <si>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</si>
  <si>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</si>
  <si>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</si>
  <si>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</si>
  <si>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</si>
  <si>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</si>
  <si>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</si>
  <si>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</si>
  <si>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</si>
  <si>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</si>
  <si>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</si>
  <si>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</si>
  <si>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</si>
  <si>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</si>
  <si>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</si>
  <si>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</si>
  <si>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</si>
  <si>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</si>
  <si>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</si>
  <si>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</si>
  <si>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</si>
  <si>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</si>
  <si>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</si>
  <si>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</si>
  <si>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</si>
  <si>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</si>
  <si>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</si>
  <si>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</si>
  <si>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</si>
  <si>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</si>
  <si>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</si>
  <si>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</si>
  <si>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</si>
  <si>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</si>
  <si>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</si>
  <si>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</si>
  <si>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</si>
  <si>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</si>
  <si>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</si>
  <si>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</si>
  <si>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</si>
  <si>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</si>
  <si>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</si>
  <si>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</si>
  <si>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</si>
  <si>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</si>
  <si>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</si>
  <si>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</si>
  <si>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</si>
  <si>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</si>
  <si>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</si>
  <si>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</si>
  <si>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</si>
  <si>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</si>
  <si>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</si>
  <si>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</si>
  <si>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</si>
  <si>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</si>
  <si>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</si>
  <si>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</si>
  <si>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</si>
  <si>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</si>
  <si>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</si>
  <si>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</si>
  <si>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</si>
  <si>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</si>
  <si>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</si>
  <si>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</si>
  <si>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</si>
  <si>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</si>
  <si>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</si>
  <si>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</si>
  <si>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</si>
  <si>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</si>
  <si>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</si>
  <si>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</si>
  <si>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</si>
  <si>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</si>
  <si>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</si>
  <si>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</si>
  <si>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</si>
  <si>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</si>
  <si>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</si>
  <si>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</si>
  <si>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</si>
  <si>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</si>
  <si>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</si>
  <si>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</si>
  <si>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</si>
  <si>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</si>
  <si>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</si>
  <si>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</si>
  <si>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</si>
  <si>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</si>
  <si>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</si>
  <si>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</si>
  <si>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</si>
  <si>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</si>
  <si>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</si>
  <si>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</si>
  <si>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</si>
  <si>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</si>
  <si>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</si>
  <si>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</si>
  <si>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</si>
  <si>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</si>
  <si>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</si>
  <si>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</si>
  <si>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</si>
  <si>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</si>
  <si>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</si>
  <si>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</si>
  <si>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</si>
  <si>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</si>
  <si>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</si>
  <si>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</si>
  <si>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</si>
  <si>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</si>
  <si>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</si>
  <si>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</si>
  <si>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</si>
  <si>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</si>
  <si>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</si>
  <si>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</si>
  <si>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</si>
  <si>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</si>
  <si>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</si>
  <si>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</si>
  <si>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</si>
  <si>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</si>
  <si>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</si>
  <si>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</si>
  <si>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</si>
  <si>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</si>
  <si>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</si>
  <si>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</si>
  <si>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</si>
  <si>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</si>
  <si>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</si>
  <si>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</si>
  <si>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</si>
  <si>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</si>
  <si>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</si>
  <si>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</si>
  <si>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</si>
  <si>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</si>
  <si>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</si>
  <si>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</si>
  <si>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</si>
  <si>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</si>
  <si>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</si>
  <si>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</si>
  <si>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</si>
  <si>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</si>
  <si>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</si>
  <si>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</si>
  <si>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</si>
  <si>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</si>
  <si>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</si>
  <si>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</si>
  <si>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</si>
  <si>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</si>
  <si>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</si>
  <si>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</si>
  <si>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</si>
  <si>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</si>
  <si>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</si>
  <si>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</si>
  <si>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</si>
  <si>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</si>
  <si>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</si>
  <si>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</si>
  <si>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</si>
  <si>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</si>
  <si>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</si>
  <si>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</si>
  <si>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</si>
  <si>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</si>
  <si>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</si>
  <si>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</si>
  <si>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</si>
  <si>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</si>
  <si>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</si>
  <si>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</si>
  <si>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</si>
  <si>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</si>
  <si>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</si>
  <si>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</si>
  <si>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</si>
  <si>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</si>
  <si>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</si>
  <si>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</si>
  <si>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</si>
  <si>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</si>
  <si>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</si>
  <si>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</si>
  <si>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</si>
  <si>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</si>
  <si>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</si>
  <si>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</si>
  <si>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</si>
  <si>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</si>
  <si>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</si>
  <si>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</si>
  <si>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</si>
  <si>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</si>
  <si>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</si>
  <si>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</si>
  <si>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</si>
  <si>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</si>
  <si>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</si>
  <si>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</si>
  <si>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</si>
  <si>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</si>
  <si>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</si>
  <si>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</si>
  <si>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</si>
  <si>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</si>
  <si>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</si>
  <si>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</si>
  <si>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</si>
  <si>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</si>
  <si>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</si>
  <si>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</si>
  <si>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</si>
  <si>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</si>
  <si>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</si>
  <si>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</si>
  <si>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</si>
  <si>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</si>
  <si>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</si>
  <si>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</si>
  <si>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</si>
  <si>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</si>
  <si>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</si>
  <si>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</si>
  <si>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</si>
  <si>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</si>
  <si>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</si>
  <si>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</si>
  <si>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</si>
  <si>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</si>
  <si>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</si>
  <si>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</si>
  <si>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</si>
  <si>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</si>
  <si>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</si>
  <si>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</si>
  <si>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</si>
  <si>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</si>
  <si>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 Date &amp; Time Functions</t>
  </si>
  <si>
    <t>Metric</t>
  </si>
  <si>
    <t>Value</t>
  </si>
  <si>
    <t>TODAY()</t>
  </si>
  <si>
    <t>NOW()</t>
  </si>
  <si>
    <t>Days Span (DATEDIF)</t>
  </si>
  <si>
    <t>End of This Month</t>
  </si>
  <si>
    <t>Timestamp (NOW)</t>
  </si>
  <si>
    <t>👑 High-Value Customer Analysis (GroupBy)</t>
  </si>
  <si>
    <t>Total Revenue</t>
  </si>
  <si>
    <t>Tx Count</t>
  </si>
  <si>
    <t>Avg Transaction</t>
  </si>
  <si>
    <t>Segment</t>
  </si>
  <si>
    <t>Abbreviation</t>
  </si>
  <si>
    <t>Product Name</t>
  </si>
  <si>
    <t>Total Qty Sold</t>
  </si>
  <si>
    <t>Transaction Count</t>
  </si>
  <si>
    <t>Revenue</t>
  </si>
  <si>
    <t>★ Most Purchased Product:</t>
  </si>
  <si>
    <t>🔄 Compare Lists – Premium vs Standard Customers</t>
  </si>
  <si>
    <t>Premium Customers</t>
  </si>
  <si>
    <t>Standard Customers</t>
  </si>
  <si>
    <t>Matched (Both Lists)</t>
  </si>
  <si>
    <t>Scenario</t>
  </si>
  <si>
    <t>Avg Order Value</t>
  </si>
  <si>
    <t>Transactions</t>
  </si>
  <si>
    <t>Projected Revenue</t>
  </si>
  <si>
    <t>📈 Linear Regression – Quantity vs Revenue</t>
  </si>
  <si>
    <t>Formula Used</t>
  </si>
  <si>
    <t>Interpretation</t>
  </si>
  <si>
    <t>SLOPE (b1)</t>
  </si>
  <si>
    <t>SLOPE(y,x)</t>
  </si>
  <si>
    <t>Revenue per additional unit</t>
  </si>
  <si>
    <t>INTERCEPT (b0)</t>
  </si>
  <si>
    <t>INTERCEPT(y,x)</t>
  </si>
  <si>
    <t>Base revenue when qty=0</t>
  </si>
  <si>
    <t>R² (Correlation²)</t>
  </si>
  <si>
    <t>RSQ(y,x)</t>
  </si>
  <si>
    <t>Model fit (1=perfect)</t>
  </si>
  <si>
    <t>CORREL</t>
  </si>
  <si>
    <t>CORREL(y,x)</t>
  </si>
  <si>
    <t>Pearson correlation</t>
  </si>
  <si>
    <t>Predicted Rev @ Qty=3</t>
  </si>
  <si>
    <t>b0 + b1*x</t>
  </si>
  <si>
    <t>Forecast for 3 units</t>
  </si>
  <si>
    <t>🔧 INPUT ASSUMPTIONS  (Changing Cells — Blue = User Input)</t>
  </si>
  <si>
    <t>Parameter</t>
  </si>
  <si>
    <t>Avg Order Value (Base)</t>
  </si>
  <si>
    <t>Transaction Count (Base)</t>
  </si>
  <si>
    <t>📊 SCENARIO COMPARISON TABLE</t>
  </si>
  <si>
    <t>Avg Order Value ($)</t>
  </si>
  <si>
    <t>Transactions Count</t>
  </si>
  <si>
    <t>Projected Revenue ($)</t>
  </si>
  <si>
    <t>📌 Base Case</t>
  </si>
  <si>
    <t>🔺 Optimistic (+20%)</t>
  </si>
  <si>
    <t>🔻 Pessimistic (-15%)</t>
  </si>
  <si>
    <t>💥 Best Case (+35%)</t>
  </si>
  <si>
    <t>⚠️  Worst Case (-25%)</t>
  </si>
  <si>
    <t>Element</t>
  </si>
  <si>
    <t>Cell Reference</t>
  </si>
  <si>
    <t>Value / Target</t>
  </si>
  <si>
    <t>📥 Set Cell (Result)</t>
  </si>
  <si>
    <t>D35</t>
  </si>
  <si>
    <t>📥 By Changing Cell</t>
  </si>
  <si>
    <t>🎯 To Value (Target)</t>
  </si>
  <si>
    <t>Manual Entry</t>
  </si>
  <si>
    <t>📌 Transactions Count</t>
  </si>
  <si>
    <t>Fixed at 250</t>
  </si>
  <si>
    <t>📊 GOAL SEEK RESULT — What Avg Order Value achieves $250,000 revenue?</t>
  </si>
  <si>
    <t>Original Value</t>
  </si>
  <si>
    <t>Goal Seek Result</t>
  </si>
  <si>
    <t>Change Required</t>
  </si>
  <si>
    <t>Regional Sales Summary</t>
  </si>
  <si>
    <t>Avg Order</t>
  </si>
  <si>
    <t>Product</t>
  </si>
  <si>
    <t>GOAL SEEK TABLE</t>
  </si>
  <si>
    <t xml:space="preserve"> Most Frequently Purchased Products</t>
  </si>
  <si>
    <t>Row Labels</t>
  </si>
  <si>
    <t>Grand Total</t>
  </si>
  <si>
    <t>Sum of Total_Amount</t>
  </si>
  <si>
    <t>Payment method</t>
  </si>
  <si>
    <t xml:space="preserve">Count </t>
  </si>
  <si>
    <t>Apr</t>
  </si>
  <si>
    <t>May</t>
  </si>
  <si>
    <t>Jun</t>
  </si>
  <si>
    <t>Jul</t>
  </si>
  <si>
    <t>Aug</t>
  </si>
  <si>
    <t>Sep</t>
  </si>
  <si>
    <t>Oct</t>
  </si>
  <si>
    <t>Nov</t>
  </si>
  <si>
    <t>Dec</t>
  </si>
  <si>
    <t>Jan</t>
  </si>
  <si>
    <t>Feb</t>
  </si>
  <si>
    <t>Mar</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</si>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</sst>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dd\-mmm\-yyyy\ hh:mm"/>
    <numFmt numFmtId="166" formatCode="0.0000"/>
    <numFmt numFmtId="179" formatCode="&quot;₹&quot;\ #,##0"/>
    <numFmt numFmtId="186" formatCode="_ [$₹-4009]\ * #,##0.00_ ;_ [$₹-4009]\ * \-#,##0.00_ ;_ [$₹-4009]\ * &quot;-&quot;??_ ;_ @_ "/>
  </numFmts>
  <fonts count="27" x14ac:knownFonts="1">
    <font>
      <sz val="11"/>
      <color theme="1"/>
      <name val="Calibri"/>
      <charset val="1"/>
    </font>
    <font>
      <b/>
      <sz val="11"/>
      <color theme="1"/>
      <name val="Calibri"/>
      <family val="2"/>
    </font>
    <font>
      <b/>
      <sz val="11"/>
      <color rgb="FFFFFFFF"/>
      <name val="Arial"/>
      <family val="2"/>
    </font>
    <font>
      <sz val="10"/>
      <color rgb="FF404040"/>
      <name val="Arial"/>
      <family val="2"/>
    </font>
    <font>
      <b/>
      <sz val="13"/>
      <color rgb="FFFFFFFF"/>
      <name val="Arial"/>
      <family val="2"/>
    </font>
    <font>
      <b/>
      <sz val="10"/>
      <color rgb="FF1F3864"/>
      <name val="Arial"/>
      <family val="2"/>
    </font>
    <font>
      <b/>
      <sz val="10"/>
      <color rgb="FF00B050"/>
      <name val="Arial"/>
      <family val="2"/>
    </font>
    <font>
      <b/>
      <sz val="11"/>
      <color rgb="FF1F3864"/>
      <name val="Calibri"/>
      <family val="2"/>
    </font>
    <font>
      <b/>
      <sz val="11"/>
      <color rgb="FFFFFFFF"/>
      <name val="Calibri"/>
      <family val="2"/>
    </font>
    <font>
      <sz val="11"/>
      <color rgb="FF1F1F1F"/>
      <name val="Calibri"/>
      <family val="2"/>
    </font>
    <font>
      <b/>
      <sz val="11"/>
      <color rgb="FF0000FF"/>
      <name val="Calibri"/>
      <family val="2"/>
    </font>
    <font>
      <b/>
      <sz val="11"/>
      <color rgb="FF1F1F1F"/>
      <name val="Calibri"/>
      <family val="2"/>
    </font>
    <font>
      <b/>
      <sz val="11"/>
      <color rgb="FF1D6318"/>
      <name val="Calibri"/>
      <family val="2"/>
    </font>
    <font>
      <sz val="11"/>
      <color rgb="FF1D6318"/>
      <name val="Calibri"/>
      <family val="2"/>
    </font>
    <font>
      <b/>
      <sz val="11"/>
      <color rgb="FF843C0C"/>
      <name val="Calibri"/>
      <family val="2"/>
    </font>
    <font>
      <sz val="11"/>
      <color rgb="FF843C0C"/>
      <name val="Calibri"/>
      <family val="2"/>
    </font>
    <font>
      <b/>
      <sz val="11"/>
      <color rgb="FF1B5E20"/>
      <name val="Calibri"/>
      <family val="2"/>
    </font>
    <font>
      <sz val="11"/>
      <color rgb="FF1B5E20"/>
      <name val="Calibri"/>
      <family val="2"/>
    </font>
    <font>
      <b/>
      <sz val="11"/>
      <color rgb="FF7F0000"/>
      <name val="Calibri"/>
      <family val="2"/>
    </font>
    <font>
      <sz val="11"/>
      <color rgb="FF7F0000"/>
      <name val="Calibri"/>
      <family val="2"/>
    </font>
    <font>
      <b/>
      <sz val="11"/>
      <color rgb="FF7030A0"/>
      <name val="Calibri"/>
      <family val="2"/>
    </font>
    <font>
      <b/>
      <sz val="11"/>
      <color rgb="FFC00000"/>
      <name val="Calibri"/>
      <family val="2"/>
    </font>
    <font>
      <sz val="11"/>
      <color theme="1"/>
      <name val="Calibri"/>
      <family val="2"/>
    </font>
    <font>
      <b/>
      <sz val="10"/>
      <color rgb="FFFFFFFF"/>
      <name val="Arial"/>
      <family val="2"/>
    </font>
    <font>
      <sz val="14"/>
      <color theme="1"/>
      <name val="Calibri"/>
      <family val="2"/>
      <scheme val="minor"/>
    </font>
    <font>
      <sz val="11"/>
      <name val="Calibri"/>
      <family val="2"/>
    </font>
    <font>
      <sz val="8"/>
      <name val="Calibri"/>
      <family val="2"/>
    </font>
  </fonts>
  <fills count="16">
    <fill>
      <patternFill patternType="none"/>
    </fill>
    <fill>
      <patternFill patternType="gray125"/>
    </fill>
    <fill>
      <patternFill patternType="solid">
        <fgColor rgb="FF1F3864"/>
        <bgColor rgb="FF404040"/>
      </patternFill>
    </fill>
    <fill>
      <patternFill patternType="solid">
        <fgColor rgb="FFF2F2F2"/>
        <bgColor rgb="FFE8F5E9"/>
      </patternFill>
    </fill>
    <fill>
      <patternFill patternType="solid">
        <fgColor rgb="FFFFFFFF"/>
        <bgColor rgb="FFF2F2F2"/>
      </patternFill>
    </fill>
    <fill>
      <patternFill patternType="solid">
        <fgColor rgb="FF2E75B6"/>
        <bgColor rgb="FF4F81BD"/>
      </patternFill>
    </fill>
    <fill>
      <patternFill patternType="solid">
        <fgColor rgb="FFE8F0FE"/>
        <bgColor rgb="FFDDEEFF"/>
      </patternFill>
    </fill>
    <fill>
      <patternFill patternType="solid">
        <fgColor rgb="FFDDEEFF"/>
        <bgColor rgb="FFE8F0FE"/>
      </patternFill>
    </fill>
    <fill>
      <patternFill patternType="solid">
        <fgColor rgb="FFE2EFDA"/>
        <bgColor rgb="FFE8F5E9"/>
      </patternFill>
    </fill>
    <fill>
      <patternFill patternType="solid">
        <fgColor rgb="FFFCE4D6"/>
        <bgColor rgb="FFFDECEA"/>
      </patternFill>
    </fill>
    <fill>
      <patternFill patternType="solid">
        <fgColor rgb="FFE8F5E9"/>
        <bgColor rgb="FFF2F2F2"/>
      </patternFill>
    </fill>
    <fill>
      <patternFill patternType="solid">
        <fgColor rgb="FFFDECEA"/>
        <bgColor rgb="FFF2F2F2"/>
      </patternFill>
    </fill>
    <fill>
      <patternFill patternType="solid">
        <fgColor rgb="FFEDE7F6"/>
        <bgColor rgb="FFE8F0FE"/>
      </patternFill>
    </fill>
    <fill>
      <patternFill patternType="solid">
        <fgColor rgb="FFF2F2F2"/>
        <bgColor rgb="FFFFFFFF"/>
      </patternFill>
    </fill>
    <fill>
      <patternFill patternType="solid">
        <fgColor theme="4" tint="0.79998168889431442"/>
        <bgColor theme="4" tint="0.79998168889431442"/>
      </patternFill>
    </fill>
    <fill>
      <patternFill patternType="solid">
        <fgColor theme="7"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auto="1"/>
      </bottom>
      <diagonal/>
    </border>
    <border>
      <left/>
      <right/>
      <top style="thin">
        <color rgb="FFBFBFBF"/>
      </top>
      <bottom style="thin">
        <color auto="1"/>
      </bottom>
      <diagonal/>
    </border>
    <border>
      <left/>
      <right/>
      <top/>
      <bottom style="thin">
        <color rgb="FFBFBFBF"/>
      </bottom>
      <diagonal/>
    </border>
    <border>
      <left style="thin">
        <color indexed="64"/>
      </left>
      <right style="thin">
        <color indexed="64"/>
      </right>
      <top style="thin">
        <color theme="4" tint="0.39997558519241921"/>
      </top>
      <bottom style="thin">
        <color indexed="64"/>
      </bottom>
      <diagonal/>
    </border>
    <border>
      <left style="thin">
        <color rgb="FFBFBFBF"/>
      </left>
      <right style="thin">
        <color rgb="FFBFBFBF"/>
      </right>
      <top/>
      <bottom style="thin">
        <color rgb="FFBFBFBF"/>
      </bottom>
      <diagonal/>
    </border>
    <border>
      <left style="thin">
        <color auto="1"/>
      </left>
      <right style="thin">
        <color auto="1"/>
      </right>
      <top style="thin">
        <color auto="1"/>
      </top>
      <bottom/>
      <diagonal/>
    </border>
  </borders>
  <cellStyleXfs count="2">
    <xf numFmtId="0" fontId="0" fillId="0" borderId="0"/>
    <xf numFmtId="0" fontId="22" fillId="0" borderId="0"/>
  </cellStyleXfs>
  <cellXfs count="83">
    <xf numFmtId="0" fontId="0" fillId="0" borderId="0" xfId="0"/>
    <xf numFmtId="0" fontId="7" fillId="6" borderId="0" xfId="0" applyFont="1" applyFill="1" applyAlignment="1">
      <alignment horizontal="left" vertical="center"/>
    </xf>
    <xf numFmtId="0" fontId="1" fillId="0" borderId="0" xfId="0" applyFont="1"/>
    <xf numFmtId="0" fontId="3" fillId="3" borderId="2" xfId="0" applyFont="1" applyFill="1" applyBorder="1" applyAlignment="1">
      <alignment horizontal="left" vertical="center" wrapText="1"/>
    </xf>
    <xf numFmtId="4" fontId="3" fillId="3" borderId="2" xfId="0" applyNumberFormat="1" applyFont="1" applyFill="1" applyBorder="1" applyAlignment="1">
      <alignment horizontal="left" vertical="center" wrapText="1"/>
    </xf>
    <xf numFmtId="0" fontId="3" fillId="4" borderId="2" xfId="0" applyFont="1" applyFill="1" applyBorder="1" applyAlignment="1">
      <alignment horizontal="left" vertical="center" wrapText="1"/>
    </xf>
    <xf numFmtId="4" fontId="3" fillId="4" borderId="2" xfId="0" applyNumberFormat="1" applyFont="1" applyFill="1" applyBorder="1" applyAlignment="1">
      <alignment horizontal="left" vertical="center" wrapText="1"/>
    </xf>
    <xf numFmtId="0" fontId="2" fillId="5" borderId="2" xfId="0" applyFont="1" applyFill="1" applyBorder="1" applyAlignment="1">
      <alignment horizontal="center" vertical="center" wrapText="1"/>
    </xf>
    <xf numFmtId="0" fontId="5" fillId="0" borderId="0" xfId="0" applyFont="1"/>
    <xf numFmtId="0" fontId="6" fillId="0" borderId="0" xfId="0" applyFont="1"/>
    <xf numFmtId="166" fontId="3" fillId="3" borderId="2" xfId="0" applyNumberFormat="1" applyFont="1" applyFill="1" applyBorder="1" applyAlignment="1">
      <alignment horizontal="left" vertical="center" wrapText="1"/>
    </xf>
    <xf numFmtId="166" fontId="3" fillId="4" borderId="2" xfId="0" applyNumberFormat="1" applyFont="1" applyFill="1" applyBorder="1" applyAlignment="1">
      <alignment horizontal="left" vertical="center" wrapText="1"/>
    </xf>
    <xf numFmtId="0" fontId="8" fillId="2" borderId="1" xfId="0" applyFont="1" applyFill="1" applyBorder="1" applyAlignment="1">
      <alignment horizontal="center" vertical="center"/>
    </xf>
    <xf numFmtId="0" fontId="11" fillId="4" borderId="1" xfId="0" applyFont="1" applyFill="1" applyBorder="1" applyAlignment="1">
      <alignment horizontal="left" vertical="center"/>
    </xf>
    <xf numFmtId="4" fontId="9" fillId="4" borderId="1" xfId="0" applyNumberFormat="1" applyFont="1" applyFill="1" applyBorder="1" applyAlignment="1">
      <alignment horizontal="right" vertical="center"/>
    </xf>
    <xf numFmtId="3" fontId="9" fillId="4" borderId="1" xfId="0" applyNumberFormat="1" applyFont="1" applyFill="1" applyBorder="1" applyAlignment="1">
      <alignment horizontal="right" vertical="center"/>
    </xf>
    <xf numFmtId="4" fontId="11" fillId="4" borderId="1" xfId="0" applyNumberFormat="1" applyFont="1" applyFill="1" applyBorder="1" applyAlignment="1">
      <alignment horizontal="right" vertical="center"/>
    </xf>
    <xf numFmtId="0" fontId="12" fillId="8" borderId="1" xfId="0" applyFont="1" applyFill="1" applyBorder="1" applyAlignment="1">
      <alignment horizontal="left" vertical="center"/>
    </xf>
    <xf numFmtId="4" fontId="13" fillId="8" borderId="1" xfId="0" applyNumberFormat="1" applyFont="1" applyFill="1" applyBorder="1" applyAlignment="1">
      <alignment horizontal="right" vertical="center"/>
    </xf>
    <xf numFmtId="3" fontId="13" fillId="8" borderId="1" xfId="0" applyNumberFormat="1" applyFont="1" applyFill="1" applyBorder="1" applyAlignment="1">
      <alignment horizontal="right" vertical="center"/>
    </xf>
    <xf numFmtId="4" fontId="12" fillId="8" borderId="1" xfId="0" applyNumberFormat="1" applyFont="1" applyFill="1" applyBorder="1" applyAlignment="1">
      <alignment horizontal="right" vertical="center"/>
    </xf>
    <xf numFmtId="0" fontId="14" fillId="9" borderId="1" xfId="0" applyFont="1" applyFill="1" applyBorder="1" applyAlignment="1">
      <alignment horizontal="left" vertical="center"/>
    </xf>
    <xf numFmtId="4" fontId="15" fillId="9" borderId="1" xfId="0" applyNumberFormat="1" applyFont="1" applyFill="1" applyBorder="1" applyAlignment="1">
      <alignment horizontal="right" vertical="center"/>
    </xf>
    <xf numFmtId="3" fontId="15" fillId="9" borderId="1" xfId="0" applyNumberFormat="1" applyFont="1" applyFill="1" applyBorder="1" applyAlignment="1">
      <alignment horizontal="right" vertical="center"/>
    </xf>
    <xf numFmtId="4" fontId="14" fillId="9" borderId="1" xfId="0" applyNumberFormat="1" applyFont="1" applyFill="1" applyBorder="1" applyAlignment="1">
      <alignment horizontal="right" vertical="center"/>
    </xf>
    <xf numFmtId="0" fontId="16" fillId="10" borderId="1" xfId="0" applyFont="1" applyFill="1" applyBorder="1" applyAlignment="1">
      <alignment horizontal="left" vertical="center"/>
    </xf>
    <xf numFmtId="4" fontId="17" fillId="10" borderId="1" xfId="0" applyNumberFormat="1" applyFont="1" applyFill="1" applyBorder="1" applyAlignment="1">
      <alignment horizontal="right" vertical="center"/>
    </xf>
    <xf numFmtId="3" fontId="17" fillId="10" borderId="1" xfId="0" applyNumberFormat="1" applyFont="1" applyFill="1" applyBorder="1" applyAlignment="1">
      <alignment horizontal="right" vertical="center"/>
    </xf>
    <xf numFmtId="4" fontId="16" fillId="10" borderId="1" xfId="0" applyNumberFormat="1" applyFont="1" applyFill="1" applyBorder="1" applyAlignment="1">
      <alignment horizontal="right" vertical="center"/>
    </xf>
    <xf numFmtId="0" fontId="18" fillId="11" borderId="1" xfId="0" applyFont="1" applyFill="1" applyBorder="1" applyAlignment="1">
      <alignment horizontal="left" vertical="center"/>
    </xf>
    <xf numFmtId="4" fontId="19" fillId="11" borderId="1" xfId="0" applyNumberFormat="1" applyFont="1" applyFill="1" applyBorder="1" applyAlignment="1">
      <alignment horizontal="right" vertical="center"/>
    </xf>
    <xf numFmtId="3" fontId="19" fillId="11" borderId="1" xfId="0" applyNumberFormat="1" applyFont="1" applyFill="1" applyBorder="1" applyAlignment="1">
      <alignment horizontal="right" vertical="center"/>
    </xf>
    <xf numFmtId="4" fontId="18" fillId="11" borderId="1" xfId="0" applyNumberFormat="1" applyFont="1" applyFill="1" applyBorder="1" applyAlignment="1">
      <alignment horizontal="right" vertical="center"/>
    </xf>
    <xf numFmtId="0" fontId="11" fillId="12" borderId="1" xfId="0" applyFont="1" applyFill="1" applyBorder="1" applyAlignment="1">
      <alignment horizontal="left" vertical="center"/>
    </xf>
    <xf numFmtId="0" fontId="9" fillId="4" borderId="1" xfId="0" applyFont="1" applyFill="1" applyBorder="1" applyAlignment="1">
      <alignment horizontal="center" vertical="center"/>
    </xf>
    <xf numFmtId="4" fontId="20" fillId="12" borderId="1" xfId="0" applyNumberFormat="1" applyFont="1" applyFill="1" applyBorder="1" applyAlignment="1">
      <alignment horizontal="right"/>
    </xf>
    <xf numFmtId="4" fontId="10" fillId="7" borderId="1" xfId="0" applyNumberFormat="1" applyFont="1" applyFill="1" applyBorder="1" applyAlignment="1">
      <alignment horizontal="right"/>
    </xf>
    <xf numFmtId="4" fontId="21" fillId="11" borderId="1" xfId="0" applyNumberFormat="1" applyFont="1" applyFill="1" applyBorder="1" applyAlignment="1">
      <alignment horizontal="right"/>
    </xf>
    <xf numFmtId="3" fontId="11" fillId="4" borderId="1" xfId="0" applyNumberFormat="1" applyFont="1" applyFill="1" applyBorder="1" applyAlignment="1">
      <alignment horizontal="right"/>
    </xf>
    <xf numFmtId="4" fontId="20" fillId="12" borderId="1" xfId="0" applyNumberFormat="1" applyFont="1" applyFill="1" applyBorder="1" applyAlignment="1">
      <alignment horizontal="right" vertical="center"/>
    </xf>
    <xf numFmtId="0" fontId="11" fillId="3" borderId="1" xfId="0" applyFont="1" applyFill="1" applyBorder="1" applyAlignment="1">
      <alignment horizontal="left" vertical="center"/>
    </xf>
    <xf numFmtId="4" fontId="9" fillId="3" borderId="1" xfId="0" applyNumberFormat="1" applyFont="1" applyFill="1" applyBorder="1" applyAlignment="1">
      <alignment horizontal="right" vertical="center"/>
    </xf>
    <xf numFmtId="3" fontId="20" fillId="12" borderId="1" xfId="0" applyNumberFormat="1" applyFont="1" applyFill="1" applyBorder="1" applyAlignment="1">
      <alignment horizontal="right" vertical="center"/>
    </xf>
    <xf numFmtId="0" fontId="2" fillId="5" borderId="2" xfId="1" applyFont="1" applyFill="1" applyBorder="1" applyAlignment="1">
      <alignment horizontal="center" vertical="center" wrapText="1"/>
    </xf>
    <xf numFmtId="0" fontId="3" fillId="4" borderId="2" xfId="1" applyFont="1" applyFill="1" applyBorder="1" applyAlignment="1">
      <alignment horizontal="left" vertical="center" wrapText="1"/>
    </xf>
    <xf numFmtId="164" fontId="3" fillId="4" borderId="2" xfId="1" applyNumberFormat="1" applyFont="1" applyFill="1" applyBorder="1" applyAlignment="1">
      <alignment horizontal="left" vertical="center" wrapText="1"/>
    </xf>
    <xf numFmtId="0" fontId="3" fillId="13" borderId="2" xfId="1" applyFont="1" applyFill="1" applyBorder="1" applyAlignment="1">
      <alignment horizontal="left" vertical="center" wrapText="1"/>
    </xf>
    <xf numFmtId="165" fontId="3" fillId="13" borderId="2" xfId="1" applyNumberFormat="1" applyFont="1" applyFill="1" applyBorder="1" applyAlignment="1">
      <alignment horizontal="left" vertical="center" wrapText="1"/>
    </xf>
    <xf numFmtId="1" fontId="3" fillId="4" borderId="2" xfId="1" applyNumberFormat="1" applyFont="1" applyFill="1" applyBorder="1" applyAlignment="1">
      <alignment horizontal="left" vertical="center" wrapText="1"/>
    </xf>
    <xf numFmtId="164" fontId="3" fillId="13" borderId="2" xfId="1" applyNumberFormat="1" applyFont="1" applyFill="1" applyBorder="1" applyAlignment="1">
      <alignment horizontal="left" vertical="center" wrapText="1"/>
    </xf>
    <xf numFmtId="165" fontId="3" fillId="4" borderId="2" xfId="1" applyNumberFormat="1" applyFont="1" applyFill="1" applyBorder="1" applyAlignment="1">
      <alignment horizontal="left" vertical="center" wrapText="1"/>
    </xf>
    <xf numFmtId="0" fontId="23" fillId="5" borderId="3" xfId="1" applyFont="1" applyFill="1" applyBorder="1" applyAlignment="1">
      <alignment horizontal="center" vertical="center" wrapText="1"/>
    </xf>
    <xf numFmtId="0" fontId="23" fillId="5" borderId="4" xfId="1" applyFont="1" applyFill="1" applyBorder="1" applyAlignment="1">
      <alignment horizontal="center" vertical="center" wrapText="1"/>
    </xf>
    <xf numFmtId="0" fontId="23" fillId="5" borderId="5" xfId="1" applyFont="1" applyFill="1" applyBorder="1" applyAlignment="1">
      <alignment horizontal="center" vertical="center" wrapText="1"/>
    </xf>
    <xf numFmtId="0" fontId="23" fillId="5" borderId="6" xfId="1" applyFont="1" applyFill="1" applyBorder="1" applyAlignment="1">
      <alignment horizontal="center" vertical="center" wrapText="1"/>
    </xf>
    <xf numFmtId="0" fontId="23" fillId="5" borderId="7" xfId="1" applyFont="1" applyFill="1" applyBorder="1" applyAlignment="1">
      <alignment horizontal="center" vertical="center" wrapText="1"/>
    </xf>
    <xf numFmtId="0" fontId="4" fillId="2" borderId="8" xfId="0" applyFont="1" applyFill="1" applyBorder="1" applyAlignment="1">
      <alignment horizontal="center" vertical="center" wrapText="1"/>
    </xf>
    <xf numFmtId="0" fontId="8" fillId="2" borderId="1" xfId="1" applyFont="1" applyFill="1" applyBorder="1" applyAlignment="1">
      <alignment horizontal="center" vertical="center"/>
    </xf>
    <xf numFmtId="0" fontId="9" fillId="4" borderId="1" xfId="1" applyFont="1" applyFill="1" applyBorder="1" applyAlignment="1">
      <alignment horizontal="left" vertical="center"/>
    </xf>
    <xf numFmtId="4" fontId="10" fillId="7" borderId="1" xfId="1" applyNumberFormat="1" applyFont="1" applyFill="1" applyBorder="1" applyAlignment="1">
      <alignment horizontal="center" vertical="center"/>
    </xf>
    <xf numFmtId="3" fontId="10" fillId="7" borderId="1" xfId="1" applyNumberFormat="1" applyFont="1" applyFill="1" applyBorder="1" applyAlignment="1">
      <alignment horizontal="center" vertical="center"/>
    </xf>
    <xf numFmtId="0" fontId="7" fillId="6" borderId="0" xfId="1" applyFont="1" applyFill="1" applyAlignment="1">
      <alignment vertical="center"/>
    </xf>
    <xf numFmtId="0" fontId="2" fillId="2" borderId="8" xfId="0" applyFont="1" applyFill="1" applyBorder="1" applyAlignment="1">
      <alignment horizontal="center" vertical="center" wrapText="1"/>
    </xf>
    <xf numFmtId="0" fontId="24" fillId="14" borderId="1" xfId="0" applyFont="1" applyFill="1" applyBorder="1" applyAlignment="1">
      <alignment horizontal="center"/>
    </xf>
    <xf numFmtId="14" fontId="24" fillId="14" borderId="1" xfId="0" applyNumberFormat="1" applyFont="1" applyFill="1" applyBorder="1" applyAlignment="1">
      <alignment horizontal="center"/>
    </xf>
    <xf numFmtId="179" fontId="24" fillId="14" borderId="9" xfId="0" applyNumberFormat="1" applyFont="1" applyFill="1" applyBorder="1" applyAlignment="1">
      <alignment horizontal="center"/>
    </xf>
    <xf numFmtId="0" fontId="24" fillId="0" borderId="1" xfId="0" applyFont="1" applyBorder="1" applyAlignment="1">
      <alignment horizontal="center"/>
    </xf>
    <xf numFmtId="14" fontId="24" fillId="0" borderId="1" xfId="0" applyNumberFormat="1" applyFont="1" applyBorder="1" applyAlignment="1">
      <alignment horizontal="center"/>
    </xf>
    <xf numFmtId="179" fontId="24" fillId="0" borderId="1" xfId="0" applyNumberFormat="1" applyFont="1" applyBorder="1" applyAlignment="1">
      <alignment horizontal="center"/>
    </xf>
    <xf numFmtId="179" fontId="24" fillId="14" borderId="1" xfId="0" applyNumberFormat="1" applyFont="1" applyFill="1" applyBorder="1" applyAlignment="1">
      <alignment horizontal="center"/>
    </xf>
    <xf numFmtId="0" fontId="2" fillId="2" borderId="10" xfId="0" applyFont="1" applyFill="1" applyBorder="1" applyAlignment="1">
      <alignment horizontal="center" vertical="center" wrapText="1"/>
    </xf>
    <xf numFmtId="0" fontId="24" fillId="0" borderId="11" xfId="0" applyFont="1" applyBorder="1" applyAlignment="1">
      <alignment horizontal="center"/>
    </xf>
    <xf numFmtId="14" fontId="24" fillId="0" borderId="11" xfId="0" applyNumberFormat="1" applyFont="1" applyBorder="1" applyAlignment="1">
      <alignment horizontal="center"/>
    </xf>
    <xf numFmtId="179" fontId="24" fillId="0" borderId="11"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15" borderId="0" xfId="0" applyFill="1"/>
    <xf numFmtId="0" fontId="0" fillId="0" borderId="1" xfId="0" pivotButton="1" applyBorder="1" applyAlignment="1">
      <alignment horizontal="center"/>
    </xf>
    <xf numFmtId="0" fontId="0" fillId="0" borderId="1" xfId="0" applyBorder="1" applyAlignment="1">
      <alignment horizontal="center"/>
    </xf>
    <xf numFmtId="1" fontId="25" fillId="0" borderId="1" xfId="0" applyNumberFormat="1" applyFont="1" applyBorder="1" applyAlignment="1">
      <alignment horizontal="center"/>
    </xf>
    <xf numFmtId="186" fontId="0" fillId="0" borderId="1" xfId="0" applyNumberFormat="1" applyBorder="1" applyAlignment="1">
      <alignment horizontal="center"/>
    </xf>
    <xf numFmtId="186" fontId="0" fillId="15" borderId="0" xfId="0" applyNumberFormat="1" applyFill="1"/>
  </cellXfs>
  <cellStyles count="2">
    <cellStyle name="Normal" xfId="0" builtinId="0"/>
    <cellStyle name="Normal 2" xfId="1" xr:uid="{5454E83E-5A45-4014-9247-99F2725D352D}"/>
  </cellStyles>
  <dxfs count="34">
    <dxf>
      <alignment horizontal="center"/>
    </dxf>
    <dxf>
      <alignment horizontal="center"/>
    </dxf>
    <dxf>
      <alignment horizontal="center"/>
    </dxf>
    <dxf>
      <alignment horizontal="center"/>
    </dxf>
    <dxf>
      <alignment horizontal="center"/>
    </dxf>
    <dxf>
      <alignment horizontal="center"/>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86" formatCode="_ [$₹-4009]\ * #,##0.00_ ;_ [$₹-4009]\ * \-#,##0.00_ ;_ [$₹-4009]\ * &quot;-&quot;??_ ;_ @_ "/>
    </dxf>
    <dxf>
      <font>
        <name val="Calibri"/>
        <family val="2"/>
        <scheme val="major"/>
      </font>
    </dxf>
    <dxf>
      <font>
        <b/>
        <i val="0"/>
        <strike val="0"/>
        <condense val="0"/>
        <extend val="0"/>
        <outline val="0"/>
        <shadow val="0"/>
        <u val="none"/>
        <vertAlign val="baseline"/>
        <sz val="11"/>
        <color rgb="FFFFFFFF"/>
        <name val="Arial"/>
        <family val="2"/>
        <scheme val="none"/>
      </font>
      <fill>
        <patternFill patternType="solid">
          <fgColor rgb="FF404040"/>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79" formatCode="&quot;₹&quot;\ #,##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19" formatCode="dd/mm/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numFmt numFmtId="19" formatCode="dd/mm/yyyy"/>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minor"/>
      </font>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bottom style="thin">
          <color rgb="FFBFBFBF"/>
        </bottom>
      </border>
    </dxf>
    <dxf>
      <border outline="0">
        <top style="thin">
          <color rgb="FFBFBFBF"/>
        </top>
        <bottom style="thin">
          <color auto="1"/>
        </bottom>
      </border>
    </dxf>
  </dxfs>
  <tableStyles count="1" defaultTableStyle="TableStyleMedium2" defaultPivotStyle="PivotStyleLight16">
    <tableStyle name="Slicer Style 1" pivot="0" table="0" count="1" xr9:uid="{3FD0213D-CBB6-4F5D-A3F2-364AC09E7405}">
      <tableStyleElement type="headerRow" dxfId="15"/>
    </tableStyle>
  </tableStyles>
  <colors>
    <indexedColors>
      <rgbColor rgb="FF000000"/>
      <rgbColor rgb="FFFFFFFF"/>
      <rgbColor rgb="FFC00000"/>
      <rgbColor rgb="FF00FF00"/>
      <rgbColor rgb="FF0000FF"/>
      <rgbColor rgb="FFFDECEA"/>
      <rgbColor rgb="FFFF00FF"/>
      <rgbColor rgb="FF00FFFF"/>
      <rgbColor rgb="FF7F0000"/>
      <rgbColor rgb="FF1D6318"/>
      <rgbColor rgb="FF000080"/>
      <rgbColor rgb="FF375623"/>
      <rgbColor rgb="FF800080"/>
      <rgbColor rgb="FF276221"/>
      <rgbColor rgb="FFBFBFBF"/>
      <rgbColor rgb="FF8B8B8B"/>
      <rgbColor rgb="FF9B59B6"/>
      <rgbColor rgb="FF7030A0"/>
      <rgbColor rgb="FFFFF2CC"/>
      <rgbColor rgb="FFDDEEFF"/>
      <rgbColor rgb="FF660066"/>
      <rgbColor rgb="FFE8F0FE"/>
      <rgbColor rgb="FF0066CC"/>
      <rgbColor rgb="FFBDD7EE"/>
      <rgbColor rgb="FF000080"/>
      <rgbColor rgb="FFFF00FF"/>
      <rgbColor rgb="FFF2F2F2"/>
      <rgbColor rgb="FF00FFFF"/>
      <rgbColor rgb="FF800080"/>
      <rgbColor rgb="FF9C0006"/>
      <rgbColor rgb="FF4F81BD"/>
      <rgbColor rgb="FF0000FF"/>
      <rgbColor rgb="FF00CCFF"/>
      <rgbColor rgb="FFE8F5E9"/>
      <rgbColor rgb="FFC6EFCE"/>
      <rgbColor rgb="FFFCE4D6"/>
      <rgbColor rgb="FFD9D9D9"/>
      <rgbColor rgb="FFEDE7F6"/>
      <rgbColor rgb="FFE2EFDA"/>
      <rgbColor rgb="FFFFC7CE"/>
      <rgbColor rgb="FF2E75B6"/>
      <rgbColor rgb="FF4BACC6"/>
      <rgbColor rgb="FF9BBB59"/>
      <rgbColor rgb="FFFFC000"/>
      <rgbColor rgb="FFFF9900"/>
      <rgbColor rgb="FFFF6600"/>
      <rgbColor rgb="FF8064A2"/>
      <rgbColor rgb="FF70AD47"/>
      <rgbColor rgb="FF1F3864"/>
      <rgbColor rgb="FF00B050"/>
      <rgbColor rgb="FF1B5E20"/>
      <rgbColor rgb="FF1F1F1F"/>
      <rgbColor rgb="FF843C0C"/>
      <rgbColor rgb="FFC0504D"/>
      <rgbColor rgb="FF59595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externalLink" Target="externalLinks/externalLink1.xml"/><Relationship Id="rId15"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[PR_Final_Project_Dashboard (1).xlsx]Visualization!PivotTable1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vs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Visualization!$A$2:$A$7</c:f>
              <c:strCache>
                <c:ptCount val="5"/>
                <c:pt idx="0">
                  <c:v>Central</c:v>
                </c:pt>
                <c:pt idx="1">
                  <c:v>East</c:v>
                </c:pt>
                <c:pt idx="2">
                  <c:v>North</c:v>
                </c:pt>
                <c:pt idx="3">
                  <c:v>South</c:v>
                </c:pt>
                <c:pt idx="4">
                  <c:v>West</c:v>
                </c:pt>
              </c:strCache>
            </c:strRef>
          </c:cat>
          <c:val>
            <c:numRef>
              <c:f>Visualization!$B$2:$B$7</c:f>
              <c:numCache>
                <c:formatCode>General</c:formatCode>
                <c:ptCount val="5"/>
                <c:pt idx="0">
                  <c:v>1999.71</c:v>
                </c:pt>
                <c:pt idx="1">
                  <c:v>2239.67</c:v>
                </c:pt>
                <c:pt idx="2">
                  <c:v>1119.8399999999999</c:v>
                </c:pt>
                <c:pt idx="3">
                  <c:v>1099.83</c:v>
                </c:pt>
                <c:pt idx="4">
                  <c:v>1879.69</c:v>
                </c:pt>
              </c:numCache>
            </c:numRef>
          </c:val>
          <c:extLst>
            <c:ext xmlns:c16="http://schemas.microsoft.com/office/drawing/2014/chart" uri="{C3380CC4-5D6E-409C-BE32-E72D297353CC}">
              <c16:uniqueId val="{00000000-2AED-4A81-8E26-0C5B546FDF61}"/>
            </c:ext>
          </c:extLst>
        </c:ser>
        <c:dLbls>
          <c:dLblPos val="outEnd"/>
          <c:showLegendKey val="0"/>
          <c:showVal val="1"/>
          <c:showCatName val="0"/>
          <c:showSerName val="0"/>
          <c:showPercent val="0"/>
          <c:showBubbleSize val="0"/>
        </c:dLbls>
        <c:gapWidth val="219"/>
        <c:overlap val="-27"/>
        <c:axId val="151566847"/>
        <c:axId val="151567327"/>
      </c:barChart>
      <c:catAx>
        <c:axId val="15156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1567327"/>
        <c:crosses val="autoZero"/>
        <c:auto val="1"/>
        <c:lblAlgn val="ctr"/>
        <c:lblOffset val="100"/>
        <c:noMultiLvlLbl val="0"/>
      </c:catAx>
      <c:valAx>
        <c:axId val="15156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156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[PR_Final_Project_Dashboard (1).xlsx]Visualization!PivotTable2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Product  vs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94936180637221"/>
          <c:y val="0.10388334839052135"/>
          <c:w val="0.81116710110400458"/>
          <c:h val="0.78779383487244747"/>
        </c:manualLayout>
      </c:layout>
      <c:barChart>
        <c:barDir val="bar"/>
        <c:grouping val="clustered"/>
        <c:varyColors val="0"/>
        <c:ser>
          <c:idx val="0"/>
          <c:order val="0"/>
          <c:tx>
            <c:strRef>
              <c:f>Visualization!$B$20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Visualization!$A$21:$A$31</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Visualization!$B$21:$B$31</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CEA5-44B8-B23A-A60FA5035413}"/>
            </c:ext>
          </c:extLst>
        </c:ser>
        <c:dLbls>
          <c:showLegendKey val="0"/>
          <c:showVal val="0"/>
          <c:showCatName val="0"/>
          <c:showSerName val="0"/>
          <c:showPercent val="0"/>
          <c:showBubbleSize val="0"/>
        </c:dLbls>
        <c:gapWidth val="182"/>
        <c:axId val="395217455"/>
        <c:axId val="395216495"/>
      </c:barChart>
      <c:catAx>
        <c:axId val="39521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95216495"/>
        <c:crosses val="autoZero"/>
        <c:auto val="1"/>
        <c:lblAlgn val="ctr"/>
        <c:lblOffset val="100"/>
        <c:noMultiLvlLbl val="0"/>
      </c:catAx>
      <c:valAx>
        <c:axId val="39521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1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[PR_Final_Project_Dashboard (1).xlsx]Visualization!PivotTable3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a:t>
            </a:r>
            <a:r>
              <a:rPr lang="en-US" baseline="0"/>
              <a:t> Method Distribution</a:t>
            </a:r>
          </a:p>
        </c:rich>
      </c:tx>
      <c:layout>
        <c:manualLayout>
          <c:xMode val="edge"/>
          <c:yMode val="edge"/>
          <c:x val="0.2342056266404199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marker>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w="9525">
              <a:solidFill>
                <a:schemeClr val="accent4"/>
              </a:solidFill>
              <a:round/>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Lbl>
          <c:idx val="0"/>
          <c:layout>
            <c:manualLayout>
              <c:x val="-9.7857201443569547E-2"/>
              <c:y val="-0.19924321959755031"/>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Lbl>
          <c:idx val="0"/>
          <c:layout>
            <c:manualLayout>
              <c:x val="-0.12754224081364829"/>
              <c:y val="0.100780475357247"/>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Lbl>
          <c:idx val="0"/>
          <c:layout>
            <c:manualLayout>
              <c:x val="-0.12754224081364829"/>
              <c:y val="0.100780475357247"/>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Lbl>
          <c:idx val="0"/>
          <c:layout>
            <c:manualLayout>
              <c:x val="-9.7857201443569547E-2"/>
              <c:y val="-0.19924321959755031"/>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pivotFmt>
      <c:pivotFmt>
        <c:idx val="8"/>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pivotFmt>
      <c:pivotFmt>
        <c:idx val="9"/>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Lbl>
          <c:idx val="0"/>
          <c:layout>
            <c:manualLayout>
              <c:x val="-0.12754224081364829"/>
              <c:y val="0.100780475357247"/>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Lbl>
          <c:idx val="0"/>
          <c:layout>
            <c:manualLayout>
              <c:x val="-0.10798024487459951"/>
              <c:y val="-0.1760771198829075"/>
            </c:manualLayout>
          </c:layout>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pivotFmt>
      <c:pivotFmt>
        <c:idx val="13"/>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pivotFmt>
    </c:pivotFmts>
    <c:plotArea>
      <c:layout>
        <c:manualLayout>
          <c:layoutTarget val="inner"/>
          <c:xMode val="edge"/>
          <c:yMode val="edge"/>
          <c:x val="0.21164084952459447"/>
          <c:y val="0.1210996832993067"/>
          <c:w val="0.46762053324650343"/>
          <c:h val="0.87410411016017819"/>
        </c:manualLayout>
      </c:layout>
      <c:pieChart>
        <c:varyColors val="1"/>
        <c:ser>
          <c:idx val="0"/>
          <c:order val="0"/>
          <c:tx>
            <c:strRef>
              <c:f>Visualization!$B$38</c:f>
              <c:strCache>
                <c:ptCount val="1"/>
                <c:pt idx="0">
                  <c:v>Total</c:v>
                </c:pt>
              </c:strCache>
            </c:strRef>
          </c:tx>
          <c:dPt>
            <c:idx val="0"/>
            <c:bubble3D val="0"/>
            <c:spPr>
              <a:gradFill>
                <a:gsLst>
                  <a:gs pos="0">
                    <a:schemeClr val="accent4">
                      <a:shade val="58000"/>
                      <a:lumMod val="102000"/>
                      <a:tint val="94000"/>
                    </a:schemeClr>
                  </a:gs>
                  <a:gs pos="50000">
                    <a:schemeClr val="accent4">
                      <a:shade val="58000"/>
                      <a:lumMod val="100000"/>
                      <a:shade val="100000"/>
                    </a:schemeClr>
                  </a:gs>
                  <a:gs pos="100000">
                    <a:schemeClr val="accent4">
                      <a:shade val="58000"/>
                      <a:lumMod val="99000"/>
                      <a:shade val="78000"/>
                    </a:schemeClr>
                  </a:gs>
                </a:gsLst>
                <a:lin ang="5400000" scaled="0"/>
                <a:tileRect/>
              </a:gradFill>
              <a:ln>
                <a:noFill/>
              </a:ln>
              <a:effectLst/>
            </c:spPr>
            <c:extLst>
              <c:ext xmlns:c16="http://schemas.microsoft.com/office/drawing/2014/chart" uri="{C3380CC4-5D6E-409C-BE32-E72D297353CC}">
                <c16:uniqueId val="{00000001-E184-4239-90BC-281B67CE9B3A}"/>
              </c:ext>
            </c:extLst>
          </c:dPt>
          <c:dPt>
            <c:idx val="1"/>
            <c:bubble3D val="0"/>
            <c:spPr>
              <a:gradFill>
                <a:gsLst>
                  <a:gs pos="0">
                    <a:schemeClr val="accent4">
                      <a:shade val="86000"/>
                      <a:lumMod val="102000"/>
                      <a:tint val="94000"/>
                    </a:schemeClr>
                  </a:gs>
                  <a:gs pos="50000">
                    <a:schemeClr val="accent4">
                      <a:shade val="86000"/>
                      <a:lumMod val="100000"/>
                      <a:shade val="100000"/>
                    </a:schemeClr>
                  </a:gs>
                  <a:gs pos="100000">
                    <a:schemeClr val="accent4">
                      <a:shade val="86000"/>
                      <a:lumMod val="99000"/>
                      <a:shade val="78000"/>
                    </a:schemeClr>
                  </a:gs>
                </a:gsLst>
                <a:lin ang="5400000" scaled="0"/>
                <a:tileRect/>
              </a:gradFill>
              <a:ln>
                <a:noFill/>
              </a:ln>
              <a:effectLst/>
            </c:spPr>
            <c:extLst>
              <c:ext xmlns:c16="http://schemas.microsoft.com/office/drawing/2014/chart" uri="{C3380CC4-5D6E-409C-BE32-E72D297353CC}">
                <c16:uniqueId val="{00000003-E184-4239-90BC-281B67CE9B3A}"/>
              </c:ext>
            </c:extLst>
          </c:dPt>
          <c:dPt>
            <c:idx val="2"/>
            <c:bubble3D val="0"/>
            <c:spPr>
              <a:gradFill>
                <a:gsLst>
                  <a:gs pos="0">
                    <a:schemeClr val="accent4">
                      <a:tint val="86000"/>
                      <a:lumMod val="102000"/>
                      <a:tint val="94000"/>
                    </a:schemeClr>
                  </a:gs>
                  <a:gs pos="50000">
                    <a:schemeClr val="accent4">
                      <a:tint val="86000"/>
                      <a:lumMod val="100000"/>
                      <a:shade val="100000"/>
                    </a:schemeClr>
                  </a:gs>
                  <a:gs pos="100000">
                    <a:schemeClr val="accent4">
                      <a:tint val="86000"/>
                      <a:lumMod val="99000"/>
                      <a:shade val="78000"/>
                    </a:schemeClr>
                  </a:gs>
                </a:gsLst>
                <a:lin ang="5400000" scaled="0"/>
                <a:tileRect/>
              </a:gradFill>
              <a:ln>
                <a:noFill/>
              </a:ln>
              <a:effectLst/>
            </c:spPr>
            <c:extLst>
              <c:ext xmlns:c16="http://schemas.microsoft.com/office/drawing/2014/chart" uri="{C3380CC4-5D6E-409C-BE32-E72D297353CC}">
                <c16:uniqueId val="{00000005-E184-4239-90BC-281B67CE9B3A}"/>
              </c:ext>
            </c:extLst>
          </c:dPt>
          <c:dPt>
            <c:idx val="3"/>
            <c:bubble3D val="0"/>
            <c:spPr>
              <a:gradFill>
                <a:gsLst>
                  <a:gs pos="0">
                    <a:schemeClr val="accent4">
                      <a:tint val="58000"/>
                      <a:lumMod val="102000"/>
                      <a:tint val="94000"/>
                    </a:schemeClr>
                  </a:gs>
                  <a:gs pos="50000">
                    <a:schemeClr val="accent4">
                      <a:tint val="58000"/>
                      <a:lumMod val="100000"/>
                      <a:shade val="100000"/>
                    </a:schemeClr>
                  </a:gs>
                  <a:gs pos="100000">
                    <a:schemeClr val="accent4">
                      <a:tint val="58000"/>
                      <a:lumMod val="99000"/>
                      <a:shade val="78000"/>
                    </a:schemeClr>
                  </a:gs>
                </a:gsLst>
                <a:lin ang="5400000" scaled="0"/>
                <a:tileRect/>
              </a:gradFill>
              <a:ln>
                <a:noFill/>
              </a:ln>
              <a:effectLst/>
            </c:spPr>
            <c:extLst>
              <c:ext xmlns:c16="http://schemas.microsoft.com/office/drawing/2014/chart" uri="{C3380CC4-5D6E-409C-BE32-E72D297353CC}">
                <c16:uniqueId val="{00000007-E184-4239-90BC-281B67CE9B3A}"/>
              </c:ext>
            </c:extLst>
          </c:dPt>
          <c:dLbls>
            <c:dLbl>
              <c:idx val="0"/>
              <c:layout>
                <c:manualLayout>
                  <c:x val="-0.12754224081364829"/>
                  <c:y val="0.10078047535724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84-4239-90BC-281B67CE9B3A}"/>
                </c:ext>
              </c:extLst>
            </c:dLbl>
            <c:dLbl>
              <c:idx val="1"/>
              <c:layout>
                <c:manualLayout>
                  <c:x val="-0.10798024487459951"/>
                  <c:y val="-0.176077119882907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84-4239-90BC-281B67CE9B3A}"/>
                </c:ext>
              </c:extLst>
            </c:dLbl>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Visualization!$A$39:$A$43</c:f>
              <c:strCache>
                <c:ptCount val="4"/>
                <c:pt idx="0">
                  <c:v>Cash</c:v>
                </c:pt>
                <c:pt idx="1">
                  <c:v>Credit Card</c:v>
                </c:pt>
                <c:pt idx="2">
                  <c:v>Debit Card</c:v>
                </c:pt>
                <c:pt idx="3">
                  <c:v>PayPal</c:v>
                </c:pt>
              </c:strCache>
            </c:strRef>
          </c:cat>
          <c:val>
            <c:numRef>
              <c:f>Visualization!$B$39:$B$43</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8-E184-4239-90BC-281B67CE9B3A}"/>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4912090728187286"/>
          <c:y val="0.29043256584190047"/>
          <c:w val="0.19267145745462261"/>
          <c:h val="0.387953789618601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[PR_Final_Project_Dashboard (1).xlsx]Visualization!PivotTable4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Category</a:t>
            </a:r>
            <a:r>
              <a:rPr lang="en-US" b="1" baseline="0"/>
              <a:t>  vs  Revenue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Visualization!$B$58</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Visualization!$A$59:$A$62</c:f>
              <c:strCache>
                <c:ptCount val="3"/>
                <c:pt idx="0">
                  <c:v>Appliances</c:v>
                </c:pt>
                <c:pt idx="1">
                  <c:v>Electronics</c:v>
                </c:pt>
                <c:pt idx="2">
                  <c:v>Furniture</c:v>
                </c:pt>
              </c:strCache>
            </c:strRef>
          </c:cat>
          <c:val>
            <c:numRef>
              <c:f>Visualization!$B$59:$B$62</c:f>
              <c:numCache>
                <c:formatCode>General</c:formatCode>
                <c:ptCount val="3"/>
                <c:pt idx="0">
                  <c:v>8338.7399999999961</c:v>
                </c:pt>
                <c:pt idx="1">
                  <c:v>171756.05000000013</c:v>
                </c:pt>
                <c:pt idx="2">
                  <c:v>49097.680000000015</c:v>
                </c:pt>
              </c:numCache>
            </c:numRef>
          </c:val>
          <c:smooth val="0"/>
          <c:extLst>
            <c:ext xmlns:c16="http://schemas.microsoft.com/office/drawing/2014/chart" uri="{C3380CC4-5D6E-409C-BE32-E72D297353CC}">
              <c16:uniqueId val="{00000000-6E9F-4DE8-852C-3DB4A7EDD229}"/>
            </c:ext>
          </c:extLst>
        </c:ser>
        <c:dLbls>
          <c:dLblPos val="r"/>
          <c:showLegendKey val="0"/>
          <c:showVal val="1"/>
          <c:showCatName val="0"/>
          <c:showSerName val="0"/>
          <c:showPercent val="0"/>
          <c:showBubbleSize val="0"/>
        </c:dLbls>
        <c:marker val="1"/>
        <c:smooth val="0"/>
        <c:axId val="1861193023"/>
        <c:axId val="1861192543"/>
      </c:lineChart>
      <c:catAx>
        <c:axId val="186119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61192543"/>
        <c:crosses val="autoZero"/>
        <c:auto val="1"/>
        <c:lblAlgn val="ctr"/>
        <c:lblOffset val="100"/>
        <c:noMultiLvlLbl val="0"/>
      </c:catAx>
      <c:valAx>
        <c:axId val="186119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9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[PR_Final_Project_Dashboard (1).xlsx]Visualization!PivotTable2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Product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3541104564726"/>
          <c:y val="0.14453742445374246"/>
          <c:w val="0.79485013673990057"/>
          <c:h val="0.74761381814720862"/>
        </c:manualLayout>
      </c:layout>
      <c:barChart>
        <c:barDir val="bar"/>
        <c:grouping val="clustered"/>
        <c:varyColors val="0"/>
        <c:ser>
          <c:idx val="0"/>
          <c:order val="0"/>
          <c:tx>
            <c:strRef>
              <c:f>Visualization!$B$20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Visualization!$A$21:$A$31</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Visualization!$B$21:$B$31</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496B-4E9D-8251-6D0AA0B31887}"/>
            </c:ext>
          </c:extLst>
        </c:ser>
        <c:dLbls>
          <c:showLegendKey val="0"/>
          <c:showVal val="0"/>
          <c:showCatName val="0"/>
          <c:showSerName val="0"/>
          <c:showPercent val="0"/>
          <c:showBubbleSize val="0"/>
        </c:dLbls>
        <c:gapWidth val="182"/>
        <c:axId val="395217455"/>
        <c:axId val="395216495"/>
      </c:barChart>
      <c:catAx>
        <c:axId val="395217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16495"/>
        <c:crosses val="autoZero"/>
        <c:auto val="1"/>
        <c:lblAlgn val="ctr"/>
        <c:lblOffset val="100"/>
        <c:noMultiLvlLbl val="0"/>
      </c:catAx>
      <c:valAx>
        <c:axId val="395216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1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[PR_Final_Project_Dashboard (1).xlsx]Visualization!PivotTable1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Visualization!$A$2:$A$7</c:f>
              <c:strCache>
                <c:ptCount val="5"/>
                <c:pt idx="0">
                  <c:v>Central</c:v>
                </c:pt>
                <c:pt idx="1">
                  <c:v>East</c:v>
                </c:pt>
                <c:pt idx="2">
                  <c:v>North</c:v>
                </c:pt>
                <c:pt idx="3">
                  <c:v>South</c:v>
                </c:pt>
                <c:pt idx="4">
                  <c:v>West</c:v>
                </c:pt>
              </c:strCache>
            </c:strRef>
          </c:cat>
          <c:val>
            <c:numRef>
              <c:f>Visualization!$B$2:$B$7</c:f>
              <c:numCache>
                <c:formatCode>General</c:formatCode>
                <c:ptCount val="5"/>
                <c:pt idx="0">
                  <c:v>1999.71</c:v>
                </c:pt>
                <c:pt idx="1">
                  <c:v>2239.67</c:v>
                </c:pt>
                <c:pt idx="2">
                  <c:v>1119.8399999999999</c:v>
                </c:pt>
                <c:pt idx="3">
                  <c:v>1099.83</c:v>
                </c:pt>
                <c:pt idx="4">
                  <c:v>1879.69</c:v>
                </c:pt>
              </c:numCache>
            </c:numRef>
          </c:val>
          <c:extLst>
            <c:ext xmlns:c16="http://schemas.microsoft.com/office/drawing/2014/chart" uri="{C3380CC4-5D6E-409C-BE32-E72D297353CC}">
              <c16:uniqueId val="{00000000-29F7-4920-B9A7-1FED2A7971FF}"/>
            </c:ext>
          </c:extLst>
        </c:ser>
        <c:dLbls>
          <c:dLblPos val="outEnd"/>
          <c:showLegendKey val="0"/>
          <c:showVal val="1"/>
          <c:showCatName val="0"/>
          <c:showSerName val="0"/>
          <c:showPercent val="0"/>
          <c:showBubbleSize val="0"/>
        </c:dLbls>
        <c:gapWidth val="219"/>
        <c:overlap val="-27"/>
        <c:axId val="151566847"/>
        <c:axId val="151567327"/>
      </c:barChart>
      <c:catAx>
        <c:axId val="15156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7327"/>
        <c:crosses val="autoZero"/>
        <c:auto val="1"/>
        <c:lblAlgn val="ctr"/>
        <c:lblOffset val="100"/>
        <c:noMultiLvlLbl val="0"/>
      </c:catAx>
      <c:valAx>
        <c:axId val="151567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[PR_Final_Project_Dashboard (1).xlsx]Visualization!PivotTable3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a:t>
            </a:r>
            <a:r>
              <a:rPr lang="en-US" baseline="0"/>
              <a:t> Method Distribution</a:t>
            </a:r>
          </a:p>
        </c:rich>
      </c:tx>
      <c:layout>
        <c:manualLayout>
          <c:xMode val="edge"/>
          <c:yMode val="edge"/>
          <c:x val="0.23420562664041994"/>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dLbl>
          <c:idx val="0"/>
          <c:layout>
            <c:manualLayout>
              <c:x val="-9.7857201443569547E-2"/>
              <c:y val="-0.19924321959755031"/>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dLbl>
          <c:idx val="0"/>
          <c:layout>
            <c:manualLayout>
              <c:x val="-0.12754224081364829"/>
              <c:y val="0.100780475357247"/>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146858595800525"/>
          <c:y val="0.12589603382910469"/>
          <c:w val="0.44453883694225721"/>
          <c:h val="0.79029126567512398"/>
        </c:manualLayout>
      </c:layout>
      <c:pieChart>
        <c:varyColors val="1"/>
        <c:ser>
          <c:idx val="0"/>
          <c:order val="0"/>
          <c:tx>
            <c:strRef>
              <c:f>Visualization!$B$38</c:f>
              <c:strCache>
                <c:ptCount val="1"/>
                <c:pt idx="0">
                  <c:v>Total</c:v>
                </c:pt>
              </c:strCache>
            </c:strRef>
          </c:tx>
          <c:dPt>
            <c:idx val="0"/>
            <c:bubble3D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extLst>
              <c:ext xmlns:c16="http://schemas.microsoft.com/office/drawing/2014/chart" uri="{C3380CC4-5D6E-409C-BE32-E72D297353CC}">
                <c16:uniqueId val="{00000004-2DB8-4B23-BD5C-11109E19651B}"/>
              </c:ext>
            </c:extLst>
          </c:dPt>
          <c:dPt>
            <c:idx val="1"/>
            <c:bubble3D val="0"/>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extLst>
              <c:ext xmlns:c16="http://schemas.microsoft.com/office/drawing/2014/chart" uri="{C3380CC4-5D6E-409C-BE32-E72D297353CC}">
                <c16:uniqueId val="{00000003-2DB8-4B23-BD5C-11109E19651B}"/>
              </c:ext>
            </c:extLst>
          </c:dPt>
          <c:dPt>
            <c:idx val="2"/>
            <c:bubble3D val="0"/>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c:spPr>
          </c:dPt>
          <c:dPt>
            <c:idx val="3"/>
            <c:bubble3D val="0"/>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dPt>
          <c:dLbls>
            <c:dLbl>
              <c:idx val="0"/>
              <c:layout>
                <c:manualLayout>
                  <c:x val="-0.12754224081364829"/>
                  <c:y val="0.10078047535724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DB8-4B23-BD5C-11109E19651B}"/>
                </c:ext>
              </c:extLst>
            </c:dLbl>
            <c:dLbl>
              <c:idx val="1"/>
              <c:layout>
                <c:manualLayout>
                  <c:x val="-9.7857201443569547E-2"/>
                  <c:y val="-0.1992432195975503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B8-4B23-BD5C-11109E19651B}"/>
                </c:ext>
              </c:extLst>
            </c:dLbl>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Visualization!$A$39:$A$43</c:f>
              <c:strCache>
                <c:ptCount val="4"/>
                <c:pt idx="0">
                  <c:v>Cash</c:v>
                </c:pt>
                <c:pt idx="1">
                  <c:v>Credit Card</c:v>
                </c:pt>
                <c:pt idx="2">
                  <c:v>Debit Card</c:v>
                </c:pt>
                <c:pt idx="3">
                  <c:v>PayPal</c:v>
                </c:pt>
              </c:strCache>
            </c:strRef>
          </c:cat>
          <c:val>
            <c:numRef>
              <c:f>Visualization!$B$39:$B$43</c:f>
              <c:numCache>
                <c:formatCode>General</c:formatCode>
                <c:ptCount val="4"/>
                <c:pt idx="0">
                  <c:v>76</c:v>
                </c:pt>
                <c:pt idx="1">
                  <c:v>68</c:v>
                </c:pt>
                <c:pt idx="2">
                  <c:v>54</c:v>
                </c:pt>
                <c:pt idx="3">
                  <c:v>52</c:v>
                </c:pt>
              </c:numCache>
            </c:numRef>
          </c:val>
          <c:extLst>
            <c:ext xmlns:c16="http://schemas.microsoft.com/office/drawing/2014/chart" uri="{C3380CC4-5D6E-409C-BE32-E72D297353CC}">
              <c16:uniqueId val="{00000002-2DB8-4B23-BD5C-11109E19651B}"/>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[PR_Final_Project_Dashboard (1).xlsx]Visualization!PivotTable4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Visualization!$A$59:$A$62</c:f>
              <c:strCache>
                <c:ptCount val="3"/>
                <c:pt idx="0">
                  <c:v>Appliances</c:v>
                </c:pt>
                <c:pt idx="1">
                  <c:v>Electronics</c:v>
                </c:pt>
                <c:pt idx="2">
                  <c:v>Furniture</c:v>
                </c:pt>
              </c:strCache>
            </c:strRef>
          </c:cat>
          <c:val>
            <c:numRef>
              <c:f>Visualization!$B$59:$B$62</c:f>
              <c:numCache>
                <c:formatCode>General</c:formatCode>
                <c:ptCount val="3"/>
                <c:pt idx="0">
                  <c:v>8338.7399999999961</c:v>
                </c:pt>
                <c:pt idx="1">
                  <c:v>171756.05000000013</c:v>
                </c:pt>
                <c:pt idx="2">
                  <c:v>49097.680000000015</c:v>
                </c:pt>
              </c:numCache>
            </c:numRef>
          </c:val>
          <c:smooth val="0"/>
          <c:extLst>
            <c:ext xmlns:c16="http://schemas.microsoft.com/office/drawing/2014/chart" uri="{C3380CC4-5D6E-409C-BE32-E72D297353CC}">
              <c16:uniqueId val="{00000000-F75F-4DE1-B57F-083E18E71BA9}"/>
            </c:ext>
          </c:extLst>
        </c:ser>
        <c:dLbls>
          <c:dLblPos val="r"/>
          <c:showLegendKey val="0"/>
          <c:showVal val="1"/>
          <c:showCatName val="0"/>
          <c:showSerName val="0"/>
          <c:showPercent val="0"/>
          <c:showBubbleSize val="0"/>
        </c:dLbls>
        <c:marker val="1"/>
        <c:smooth val="0"/>
        <c:axId val="1861193023"/>
        <c:axId val="1861192543"/>
      </c:lineChart>
      <c:catAx>
        <c:axId val="186119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92543"/>
        <c:crosses val="autoZero"/>
        <c:auto val="1"/>
        <c:lblAlgn val="ctr"/>
        <c:lblOffset val="100"/>
        <c:noMultiLvlLbl val="0"/>
      </c:catAx>
      <c:valAx>
        <c:axId val="186119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9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439844</xdr:colOff>
      <xdr:row>0</xdr:row>
      <xdr:rowOff>31750</xdr:rowOff>
    </xdr:from>
    <xdr:to>
      <xdr:col>31</xdr:col>
      <xdr:colOff>306916</xdr:colOff>
      <xdr:row>4</xdr:row>
      <xdr:rowOff>116416</xdr:rowOff>
    </xdr:to>
    <xdr:sp macro="" textlink="">
      <xdr:nvSpPr>
        <xdr:cNvPr id="2" name="Rectangle: Rounded Corners 1">
          <a:extLst>
            <a:ext uri="{FF2B5EF4-FFF2-40B4-BE49-F238E27FC236}">
              <a16:creationId xmlns:a16="http://schemas.microsoft.com/office/drawing/2014/main" id="{E2E0BDC6-E598-4E9D-087C-21CD9EB0FD06}"/>
            </a:ext>
          </a:extLst>
        </xdr:cNvPr>
        <xdr:cNvSpPr/>
      </xdr:nvSpPr>
      <xdr:spPr>
        <a:xfrm>
          <a:off x="1053677" y="31750"/>
          <a:ext cx="18991156" cy="804333"/>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300" b="1">
              <a:solidFill>
                <a:schemeClr val="bg2"/>
              </a:solidFill>
            </a:rPr>
            <a:t> DATA  INTELLIGENCE  DASHBOARD</a:t>
          </a:r>
        </a:p>
      </xdr:txBody>
    </xdr:sp>
    <xdr:clientData/>
  </xdr:twoCellAnchor>
  <xdr:twoCellAnchor>
    <xdr:from>
      <xdr:col>0</xdr:col>
      <xdr:colOff>16082</xdr:colOff>
      <xdr:row>5</xdr:row>
      <xdr:rowOff>62652</xdr:rowOff>
    </xdr:from>
    <xdr:to>
      <xdr:col>1</xdr:col>
      <xdr:colOff>465664</xdr:colOff>
      <xdr:row>35</xdr:row>
      <xdr:rowOff>1</xdr:rowOff>
    </xdr:to>
    <xdr:sp macro="" textlink="">
      <xdr:nvSpPr>
        <xdr:cNvPr id="3" name="Rectangle: Rounded Corners 2">
          <a:extLst>
            <a:ext uri="{FF2B5EF4-FFF2-40B4-BE49-F238E27FC236}">
              <a16:creationId xmlns:a16="http://schemas.microsoft.com/office/drawing/2014/main" id="{59E00CB9-5012-44AF-A37E-F067C987B1DD}"/>
            </a:ext>
          </a:extLst>
        </xdr:cNvPr>
        <xdr:cNvSpPr/>
      </xdr:nvSpPr>
      <xdr:spPr>
        <a:xfrm rot="5400000">
          <a:off x="-2119635" y="3097952"/>
          <a:ext cx="5334849" cy="1063415"/>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33868</xdr:colOff>
      <xdr:row>9</xdr:row>
      <xdr:rowOff>140570</xdr:rowOff>
    </xdr:from>
    <xdr:to>
      <xdr:col>1</xdr:col>
      <xdr:colOff>433917</xdr:colOff>
      <xdr:row>24</xdr:row>
      <xdr:rowOff>102469</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6270954D-95ED-493B-98F8-649E3E8BCF2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3868" y="1759820"/>
              <a:ext cx="1013882" cy="2660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592668</xdr:colOff>
      <xdr:row>10</xdr:row>
      <xdr:rowOff>154900</xdr:rowOff>
    </xdr:from>
    <xdr:to>
      <xdr:col>11</xdr:col>
      <xdr:colOff>254001</xdr:colOff>
      <xdr:row>36</xdr:row>
      <xdr:rowOff>137583</xdr:rowOff>
    </xdr:to>
    <xdr:graphicFrame macro="">
      <xdr:nvGraphicFramePr>
        <xdr:cNvPr id="6" name="Chart 5">
          <a:extLst>
            <a:ext uri="{FF2B5EF4-FFF2-40B4-BE49-F238E27FC236}">
              <a16:creationId xmlns:a16="http://schemas.microsoft.com/office/drawing/2014/main" id="{C09B25EE-FC30-4582-AC41-501F6B09E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518559</xdr:colOff>
      <xdr:row>20</xdr:row>
      <xdr:rowOff>76871</xdr:rowOff>
    </xdr:from>
    <xdr:to>
      <xdr:col>26</xdr:col>
      <xdr:colOff>306625</xdr:colOff>
      <xdr:row>37</xdr:row>
      <xdr:rowOff>21166</xdr:rowOff>
    </xdr:to>
    <xdr:graphicFrame macro="">
      <xdr:nvGraphicFramePr>
        <xdr:cNvPr id="7" name="Chart 6">
          <a:extLst>
            <a:ext uri="{FF2B5EF4-FFF2-40B4-BE49-F238E27FC236}">
              <a16:creationId xmlns:a16="http://schemas.microsoft.com/office/drawing/2014/main" id="{11C1FBB5-C79F-47E6-8B36-B1066C2A5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xdr:row>
      <xdr:rowOff>9646</xdr:rowOff>
    </xdr:from>
    <xdr:to>
      <xdr:col>5</xdr:col>
      <xdr:colOff>511215</xdr:colOff>
      <xdr:row>9</xdr:row>
      <xdr:rowOff>163975</xdr:rowOff>
    </xdr:to>
    <xdr:sp macro="" textlink="">
      <xdr:nvSpPr>
        <xdr:cNvPr id="8" name="Rectangle 7">
          <a:extLst>
            <a:ext uri="{FF2B5EF4-FFF2-40B4-BE49-F238E27FC236}">
              <a16:creationId xmlns:a16="http://schemas.microsoft.com/office/drawing/2014/main" id="{2F7BD13B-D5AA-9273-EEA0-38838D2400B5}"/>
            </a:ext>
          </a:extLst>
        </xdr:cNvPr>
        <xdr:cNvSpPr/>
      </xdr:nvSpPr>
      <xdr:spPr>
        <a:xfrm>
          <a:off x="1215342" y="925975"/>
          <a:ext cx="3048000" cy="887392"/>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0</xdr:colOff>
      <xdr:row>5</xdr:row>
      <xdr:rowOff>9647</xdr:rowOff>
    </xdr:from>
    <xdr:to>
      <xdr:col>5</xdr:col>
      <xdr:colOff>520860</xdr:colOff>
      <xdr:row>7</xdr:row>
      <xdr:rowOff>19291</xdr:rowOff>
    </xdr:to>
    <xdr:sp macro="" textlink="">
      <xdr:nvSpPr>
        <xdr:cNvPr id="10" name="Rectangle 9">
          <a:extLst>
            <a:ext uri="{FF2B5EF4-FFF2-40B4-BE49-F238E27FC236}">
              <a16:creationId xmlns:a16="http://schemas.microsoft.com/office/drawing/2014/main" id="{F510281D-DE9E-A5C1-214E-10AB5734EA1B}"/>
            </a:ext>
          </a:extLst>
        </xdr:cNvPr>
        <xdr:cNvSpPr/>
      </xdr:nvSpPr>
      <xdr:spPr>
        <a:xfrm>
          <a:off x="1215342" y="925976"/>
          <a:ext cx="3057645" cy="37617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2024</a:t>
          </a:r>
          <a:r>
            <a:rPr lang="en-IN" sz="1600" b="1" baseline="0">
              <a:solidFill>
                <a:schemeClr val="tx1"/>
              </a:solidFill>
            </a:rPr>
            <a:t> SALES</a:t>
          </a:r>
          <a:endParaRPr lang="en-IN" sz="1600" b="1">
            <a:solidFill>
              <a:schemeClr val="tx1"/>
            </a:solidFill>
          </a:endParaRPr>
        </a:p>
      </xdr:txBody>
    </xdr:sp>
    <xdr:clientData/>
  </xdr:twoCellAnchor>
  <xdr:twoCellAnchor>
    <xdr:from>
      <xdr:col>2</xdr:col>
      <xdr:colOff>327950</xdr:colOff>
      <xdr:row>7</xdr:row>
      <xdr:rowOff>67520</xdr:rowOff>
    </xdr:from>
    <xdr:to>
      <xdr:col>5</xdr:col>
      <xdr:colOff>48228</xdr:colOff>
      <xdr:row>9</xdr:row>
      <xdr:rowOff>106102</xdr:rowOff>
    </xdr:to>
    <xdr:sp macro="" textlink="$AK$14">
      <xdr:nvSpPr>
        <xdr:cNvPr id="14" name="Rectangle 13">
          <a:extLst>
            <a:ext uri="{FF2B5EF4-FFF2-40B4-BE49-F238E27FC236}">
              <a16:creationId xmlns:a16="http://schemas.microsoft.com/office/drawing/2014/main" id="{9F3CF5D3-E113-46B8-B1D9-744851CB8E26}"/>
            </a:ext>
          </a:extLst>
        </xdr:cNvPr>
        <xdr:cNvSpPr/>
      </xdr:nvSpPr>
      <xdr:spPr>
        <a:xfrm>
          <a:off x="1543292" y="1350381"/>
          <a:ext cx="2257063" cy="405113"/>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BC77798-6490-4813-9ACF-33DCC659A50F}" type="TxLink">
            <a:rPr lang="en-US" sz="1700" b="1">
              <a:solidFill>
                <a:schemeClr val="tx1"/>
              </a:solidFill>
              <a:latin typeface="+mn-lt"/>
              <a:ea typeface="+mn-ea"/>
              <a:cs typeface="+mn-cs"/>
            </a:rPr>
            <a:pPr marL="0" indent="0" algn="ctr"/>
            <a:t>229192</a:t>
          </a:fld>
          <a:endParaRPr lang="en-IN" sz="1700" b="1">
            <a:solidFill>
              <a:schemeClr val="tx1"/>
            </a:solidFill>
            <a:latin typeface="+mn-lt"/>
            <a:ea typeface="+mn-ea"/>
            <a:cs typeface="+mn-cs"/>
          </a:endParaRPr>
        </a:p>
      </xdr:txBody>
    </xdr:sp>
    <xdr:clientData/>
  </xdr:twoCellAnchor>
  <xdr:twoCellAnchor>
    <xdr:from>
      <xdr:col>6</xdr:col>
      <xdr:colOff>181337</xdr:colOff>
      <xdr:row>5</xdr:row>
      <xdr:rowOff>17362</xdr:rowOff>
    </xdr:from>
    <xdr:to>
      <xdr:col>11</xdr:col>
      <xdr:colOff>190982</xdr:colOff>
      <xdr:row>9</xdr:row>
      <xdr:rowOff>171691</xdr:rowOff>
    </xdr:to>
    <xdr:sp macro="" textlink="">
      <xdr:nvSpPr>
        <xdr:cNvPr id="15" name="Rectangle 14">
          <a:extLst>
            <a:ext uri="{FF2B5EF4-FFF2-40B4-BE49-F238E27FC236}">
              <a16:creationId xmlns:a16="http://schemas.microsoft.com/office/drawing/2014/main" id="{0F2A3544-3425-41A8-B6F7-EDFE4F16C636}"/>
            </a:ext>
          </a:extLst>
        </xdr:cNvPr>
        <xdr:cNvSpPr/>
      </xdr:nvSpPr>
      <xdr:spPr>
        <a:xfrm>
          <a:off x="4541134" y="933691"/>
          <a:ext cx="3048000" cy="887392"/>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182275</xdr:colOff>
      <xdr:row>5</xdr:row>
      <xdr:rowOff>18302</xdr:rowOff>
    </xdr:from>
    <xdr:to>
      <xdr:col>11</xdr:col>
      <xdr:colOff>201565</xdr:colOff>
      <xdr:row>7</xdr:row>
      <xdr:rowOff>27946</xdr:rowOff>
    </xdr:to>
    <xdr:sp macro="" textlink="">
      <xdr:nvSpPr>
        <xdr:cNvPr id="16" name="Rectangle 15">
          <a:extLst>
            <a:ext uri="{FF2B5EF4-FFF2-40B4-BE49-F238E27FC236}">
              <a16:creationId xmlns:a16="http://schemas.microsoft.com/office/drawing/2014/main" id="{FE4A80A0-AA7A-4C76-A573-3014DA40766E}"/>
            </a:ext>
          </a:extLst>
        </xdr:cNvPr>
        <xdr:cNvSpPr/>
      </xdr:nvSpPr>
      <xdr:spPr>
        <a:xfrm>
          <a:off x="4574358" y="917885"/>
          <a:ext cx="3088457" cy="369478"/>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TOP</a:t>
          </a:r>
          <a:r>
            <a:rPr lang="en-IN" sz="1600" b="1" baseline="0">
              <a:solidFill>
                <a:schemeClr val="tx1"/>
              </a:solidFill>
            </a:rPr>
            <a:t> CATEGORY</a:t>
          </a:r>
        </a:p>
        <a:p>
          <a:pPr algn="ctr"/>
          <a:endParaRPr lang="en-IN" sz="2000" b="1">
            <a:solidFill>
              <a:schemeClr val="tx1"/>
            </a:solidFill>
          </a:endParaRPr>
        </a:p>
      </xdr:txBody>
    </xdr:sp>
    <xdr:clientData/>
  </xdr:twoCellAnchor>
  <xdr:twoCellAnchor>
    <xdr:from>
      <xdr:col>6</xdr:col>
      <xdr:colOff>557514</xdr:colOff>
      <xdr:row>7</xdr:row>
      <xdr:rowOff>77164</xdr:rowOff>
    </xdr:from>
    <xdr:to>
      <xdr:col>10</xdr:col>
      <xdr:colOff>366531</xdr:colOff>
      <xdr:row>9</xdr:row>
      <xdr:rowOff>123463</xdr:rowOff>
    </xdr:to>
    <xdr:sp macro="" textlink="$AH$14">
      <xdr:nvSpPr>
        <xdr:cNvPr id="19" name="Rectangle 18">
          <a:extLst>
            <a:ext uri="{FF2B5EF4-FFF2-40B4-BE49-F238E27FC236}">
              <a16:creationId xmlns:a16="http://schemas.microsoft.com/office/drawing/2014/main" id="{7608FB7B-49D5-4354-BC63-211FA8434CBC}"/>
            </a:ext>
          </a:extLst>
        </xdr:cNvPr>
        <xdr:cNvSpPr/>
      </xdr:nvSpPr>
      <xdr:spPr>
        <a:xfrm>
          <a:off x="4917311" y="1360025"/>
          <a:ext cx="2239701" cy="41283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700" b="1">
              <a:solidFill>
                <a:schemeClr val="tx1"/>
              </a:solidFill>
              <a:latin typeface="+mn-lt"/>
              <a:ea typeface="+mn-ea"/>
              <a:cs typeface="+mn-cs"/>
            </a:rPr>
            <a:t>ELECTRONICS</a:t>
          </a:r>
        </a:p>
      </xdr:txBody>
    </xdr:sp>
    <xdr:clientData/>
  </xdr:twoCellAnchor>
  <xdr:twoCellAnchor>
    <xdr:from>
      <xdr:col>21</xdr:col>
      <xdr:colOff>476683</xdr:colOff>
      <xdr:row>5</xdr:row>
      <xdr:rowOff>11018</xdr:rowOff>
    </xdr:from>
    <xdr:to>
      <xdr:col>30</xdr:col>
      <xdr:colOff>106268</xdr:colOff>
      <xdr:row>19</xdr:row>
      <xdr:rowOff>127436</xdr:rowOff>
    </xdr:to>
    <xdr:graphicFrame macro="">
      <xdr:nvGraphicFramePr>
        <xdr:cNvPr id="21" name="Chart 20">
          <a:extLst>
            <a:ext uri="{FF2B5EF4-FFF2-40B4-BE49-F238E27FC236}">
              <a16:creationId xmlns:a16="http://schemas.microsoft.com/office/drawing/2014/main" id="{0E43971E-A398-4D1C-A6AD-76D773B4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497560</xdr:colOff>
      <xdr:row>5</xdr:row>
      <xdr:rowOff>11163</xdr:rowOff>
    </xdr:from>
    <xdr:to>
      <xdr:col>21</xdr:col>
      <xdr:colOff>264727</xdr:colOff>
      <xdr:row>19</xdr:row>
      <xdr:rowOff>148227</xdr:rowOff>
    </xdr:to>
    <xdr:graphicFrame macro="">
      <xdr:nvGraphicFramePr>
        <xdr:cNvPr id="22" name="Chart 21">
          <a:extLst>
            <a:ext uri="{FF2B5EF4-FFF2-40B4-BE49-F238E27FC236}">
              <a16:creationId xmlns:a16="http://schemas.microsoft.com/office/drawing/2014/main" id="{A7C46197-D953-4F0D-9511-0BFC69C07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116420</xdr:colOff>
      <xdr:row>5</xdr:row>
      <xdr:rowOff>42334</xdr:rowOff>
    </xdr:from>
    <xdr:to>
      <xdr:col>7</xdr:col>
      <xdr:colOff>412752</xdr:colOff>
      <xdr:row>6</xdr:row>
      <xdr:rowOff>158749</xdr:rowOff>
    </xdr:to>
    <xdr:pic>
      <xdr:nvPicPr>
        <xdr:cNvPr id="24" name="Graphic 23" descr="Trophy with solid fill">
          <a:extLst>
            <a:ext uri="{FF2B5EF4-FFF2-40B4-BE49-F238E27FC236}">
              <a16:creationId xmlns:a16="http://schemas.microsoft.com/office/drawing/2014/main" id="{8C5E97ED-AE4F-1476-687B-C33885500C1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22337" y="941917"/>
          <a:ext cx="296332" cy="296332"/>
        </a:xfrm>
        <a:prstGeom prst="rect">
          <a:avLst/>
        </a:prstGeom>
      </xdr:spPr>
    </xdr:pic>
    <xdr:clientData/>
  </xdr:twoCellAnchor>
  <xdr:twoCellAnchor editAs="oneCell">
    <xdr:from>
      <xdr:col>3</xdr:col>
      <xdr:colOff>169333</xdr:colOff>
      <xdr:row>7</xdr:row>
      <xdr:rowOff>91014</xdr:rowOff>
    </xdr:from>
    <xdr:to>
      <xdr:col>3</xdr:col>
      <xdr:colOff>497417</xdr:colOff>
      <xdr:row>9</xdr:row>
      <xdr:rowOff>59265</xdr:rowOff>
    </xdr:to>
    <xdr:pic>
      <xdr:nvPicPr>
        <xdr:cNvPr id="26" name="Picture 25">
          <a:extLst>
            <a:ext uri="{FF2B5EF4-FFF2-40B4-BE49-F238E27FC236}">
              <a16:creationId xmlns:a16="http://schemas.microsoft.com/office/drawing/2014/main" id="{1406701E-F826-8054-3114-3BAC5523EFB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10833" y="1350431"/>
          <a:ext cx="328084" cy="328084"/>
        </a:xfrm>
        <a:prstGeom prst="rect">
          <a:avLst/>
        </a:prstGeom>
      </xdr:spPr>
    </xdr:pic>
    <xdr:clientData/>
  </xdr:twoCellAnchor>
  <xdr:twoCellAnchor editAs="oneCell">
    <xdr:from>
      <xdr:col>0</xdr:col>
      <xdr:colOff>0</xdr:colOff>
      <xdr:row>0</xdr:row>
      <xdr:rowOff>0</xdr:rowOff>
    </xdr:from>
    <xdr:to>
      <xdr:col>1</xdr:col>
      <xdr:colOff>582083</xdr:colOff>
      <xdr:row>5</xdr:row>
      <xdr:rowOff>179916</xdr:rowOff>
    </xdr:to>
    <xdr:pic>
      <xdr:nvPicPr>
        <xdr:cNvPr id="30" name="Picture 29">
          <a:extLst>
            <a:ext uri="{FF2B5EF4-FFF2-40B4-BE49-F238E27FC236}">
              <a16:creationId xmlns:a16="http://schemas.microsoft.com/office/drawing/2014/main" id="{75171E10-6A1B-E4B8-6544-F2290AA05FC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1195916" cy="10794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19</xdr:row>
      <xdr:rowOff>22860</xdr:rowOff>
    </xdr:from>
    <xdr:to>
      <xdr:col>16</xdr:col>
      <xdr:colOff>8965</xdr:colOff>
      <xdr:row>34</xdr:row>
      <xdr:rowOff>11430</xdr:rowOff>
    </xdr:to>
    <xdr:graphicFrame macro="">
      <xdr:nvGraphicFramePr>
        <xdr:cNvPr id="3" name="Chart 2">
          <a:extLst>
            <a:ext uri="{FF2B5EF4-FFF2-40B4-BE49-F238E27FC236}">
              <a16:creationId xmlns:a16="http://schemas.microsoft.com/office/drawing/2014/main" id="{617B6B83-0E73-2EB5-2348-BF41150D6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276561</xdr:colOff>
      <xdr:row>0</xdr:row>
      <xdr:rowOff>129316</xdr:rowOff>
    </xdr:from>
    <xdr:to>
      <xdr:col>15</xdr:col>
      <xdr:colOff>439271</xdr:colOff>
      <xdr:row>15</xdr:row>
      <xdr:rowOff>129316</xdr:rowOff>
    </xdr:to>
    <xdr:graphicFrame macro="">
      <xdr:nvGraphicFramePr>
        <xdr:cNvPr id="4" name="Chart 3">
          <a:extLst>
            <a:ext uri="{FF2B5EF4-FFF2-40B4-BE49-F238E27FC236}">
              <a16:creationId xmlns:a16="http://schemas.microsoft.com/office/drawing/2014/main" id="{01F67816-4722-313A-79E7-4C2232A017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37</xdr:row>
      <xdr:rowOff>11430</xdr:rowOff>
    </xdr:from>
    <xdr:to>
      <xdr:col>15</xdr:col>
      <xdr:colOff>152400</xdr:colOff>
      <xdr:row>52</xdr:row>
      <xdr:rowOff>11430</xdr:rowOff>
    </xdr:to>
    <xdr:graphicFrame macro="">
      <xdr:nvGraphicFramePr>
        <xdr:cNvPr id="5" name="Chart 4">
          <a:extLst>
            <a:ext uri="{FF2B5EF4-FFF2-40B4-BE49-F238E27FC236}">
              <a16:creationId xmlns:a16="http://schemas.microsoft.com/office/drawing/2014/main" id="{B8CCA208-315D-680D-991F-3C6B189B7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56</xdr:row>
      <xdr:rowOff>179070</xdr:rowOff>
    </xdr:from>
    <xdr:to>
      <xdr:col>15</xdr:col>
      <xdr:colOff>654424</xdr:colOff>
      <xdr:row>71</xdr:row>
      <xdr:rowOff>179070</xdr:rowOff>
    </xdr:to>
    <xdr:graphicFrame macro="">
      <xdr:nvGraphicFramePr>
        <xdr:cNvPr id="6" name="Chart 5">
          <a:extLst>
            <a:ext uri="{FF2B5EF4-FFF2-40B4-BE49-F238E27FC236}">
              <a16:creationId xmlns:a16="http://schemas.microsoft.com/office/drawing/2014/main" id="{69058664-5C45-669B-DD00-3C165561D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179742</xdr:colOff>
      <xdr:row>0</xdr:row>
      <xdr:rowOff>107576</xdr:rowOff>
    </xdr:from>
    <xdr:to>
      <xdr:col>17</xdr:col>
      <xdr:colOff>610946</xdr:colOff>
      <xdr:row>17</xdr:row>
      <xdr:rowOff>53788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D7EABC53-E04B-5C43-F5A5-9FFA628490E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87366" y="107576"/>
              <a:ext cx="1157345" cy="2994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nsi\Downloads\PR_Final_Project_Dashboard.xlsx" TargetMode="External"/><Relationship Id="rId1" Type="http://schemas.openxmlformats.org/officeDocument/2006/relationships/externalLinkPath" Target="PR_Final_Project_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Analysis"/>
    </sheetNames>
    <sheetDataSet>
      <sheetData sheetId="0">
        <row r="2">
          <cell r="A2" t="str">
            <v>TRX0155</v>
          </cell>
          <cell r="B2">
            <v>45393</v>
          </cell>
        </row>
        <row r="3">
          <cell r="B3">
            <v>45396</v>
          </cell>
        </row>
        <row r="4">
          <cell r="B4">
            <v>45399</v>
          </cell>
        </row>
        <row r="5">
          <cell r="B5">
            <v>45400</v>
          </cell>
        </row>
        <row r="6">
          <cell r="B6">
            <v>45400</v>
          </cell>
        </row>
        <row r="7">
          <cell r="B7">
            <v>45403</v>
          </cell>
        </row>
        <row r="8">
          <cell r="B8">
            <v>45403</v>
          </cell>
        </row>
        <row r="9">
          <cell r="B9">
            <v>45403</v>
          </cell>
        </row>
        <row r="10">
          <cell r="B10">
            <v>45405</v>
          </cell>
        </row>
        <row r="11">
          <cell r="B11">
            <v>45408</v>
          </cell>
        </row>
        <row r="12">
          <cell r="B12">
            <v>45408</v>
          </cell>
        </row>
        <row r="13">
          <cell r="B13">
            <v>45408</v>
          </cell>
        </row>
        <row r="14">
          <cell r="B14">
            <v>45408</v>
          </cell>
        </row>
        <row r="15">
          <cell r="B15">
            <v>45409</v>
          </cell>
        </row>
        <row r="16">
          <cell r="B16">
            <v>45409</v>
          </cell>
        </row>
        <row r="17">
          <cell r="B17">
            <v>45409</v>
          </cell>
        </row>
        <row r="18">
          <cell r="B18">
            <v>45410</v>
          </cell>
        </row>
        <row r="19">
          <cell r="B19">
            <v>45410</v>
          </cell>
        </row>
        <row r="20">
          <cell r="B20">
            <v>45410</v>
          </cell>
        </row>
        <row r="21">
          <cell r="B21">
            <v>45410</v>
          </cell>
        </row>
        <row r="22">
          <cell r="B22">
            <v>45412</v>
          </cell>
        </row>
        <row r="23">
          <cell r="B23">
            <v>45413</v>
          </cell>
        </row>
        <row r="24">
          <cell r="B24">
            <v>45415</v>
          </cell>
        </row>
        <row r="25">
          <cell r="B25">
            <v>45416</v>
          </cell>
        </row>
        <row r="26">
          <cell r="B26">
            <v>45422</v>
          </cell>
        </row>
        <row r="27">
          <cell r="B27">
            <v>45424</v>
          </cell>
        </row>
        <row r="28">
          <cell r="B28">
            <v>45424</v>
          </cell>
        </row>
        <row r="29">
          <cell r="B29">
            <v>45424</v>
          </cell>
        </row>
        <row r="30">
          <cell r="B30">
            <v>45425</v>
          </cell>
        </row>
        <row r="31">
          <cell r="B31">
            <v>45427</v>
          </cell>
        </row>
        <row r="32">
          <cell r="B32">
            <v>45427</v>
          </cell>
        </row>
        <row r="33">
          <cell r="B33">
            <v>45428</v>
          </cell>
        </row>
        <row r="34">
          <cell r="B34">
            <v>45430</v>
          </cell>
        </row>
        <row r="35">
          <cell r="B35">
            <v>45432</v>
          </cell>
        </row>
        <row r="36">
          <cell r="B36">
            <v>45434</v>
          </cell>
        </row>
        <row r="37">
          <cell r="B37">
            <v>45435</v>
          </cell>
        </row>
        <row r="38">
          <cell r="B38">
            <v>45438</v>
          </cell>
        </row>
        <row r="39">
          <cell r="B39">
            <v>45440</v>
          </cell>
        </row>
        <row r="40">
          <cell r="B40">
            <v>45441</v>
          </cell>
        </row>
        <row r="41">
          <cell r="B41">
            <v>45443</v>
          </cell>
        </row>
        <row r="42">
          <cell r="B42">
            <v>45444</v>
          </cell>
        </row>
        <row r="43">
          <cell r="B43">
            <v>45444</v>
          </cell>
        </row>
        <row r="44">
          <cell r="B44">
            <v>45446</v>
          </cell>
        </row>
        <row r="45">
          <cell r="B45">
            <v>45449</v>
          </cell>
        </row>
        <row r="46">
          <cell r="B46">
            <v>45449</v>
          </cell>
        </row>
        <row r="47">
          <cell r="B47">
            <v>45450</v>
          </cell>
        </row>
        <row r="48">
          <cell r="B48">
            <v>45452</v>
          </cell>
        </row>
        <row r="49">
          <cell r="B49">
            <v>45456</v>
          </cell>
        </row>
        <row r="50">
          <cell r="B50">
            <v>45459</v>
          </cell>
        </row>
        <row r="51">
          <cell r="B51">
            <v>45459</v>
          </cell>
        </row>
        <row r="52">
          <cell r="B52">
            <v>45459</v>
          </cell>
        </row>
        <row r="53">
          <cell r="B53">
            <v>45460</v>
          </cell>
        </row>
        <row r="54">
          <cell r="B54">
            <v>45460</v>
          </cell>
        </row>
        <row r="55">
          <cell r="B55">
            <v>45468</v>
          </cell>
        </row>
        <row r="56">
          <cell r="B56">
            <v>45469</v>
          </cell>
        </row>
        <row r="57">
          <cell r="B57">
            <v>45469</v>
          </cell>
        </row>
        <row r="58">
          <cell r="B58">
            <v>45471</v>
          </cell>
        </row>
        <row r="59">
          <cell r="B59">
            <v>45471</v>
          </cell>
        </row>
        <row r="60">
          <cell r="B60">
            <v>45472</v>
          </cell>
        </row>
        <row r="61">
          <cell r="B61">
            <v>45474</v>
          </cell>
        </row>
        <row r="62">
          <cell r="B62">
            <v>45475</v>
          </cell>
        </row>
        <row r="63">
          <cell r="B63">
            <v>45476</v>
          </cell>
        </row>
        <row r="64">
          <cell r="B64">
            <v>45476</v>
          </cell>
        </row>
        <row r="65">
          <cell r="B65">
            <v>45481</v>
          </cell>
        </row>
        <row r="66">
          <cell r="B66">
            <v>45481</v>
          </cell>
        </row>
        <row r="67">
          <cell r="B67">
            <v>45481</v>
          </cell>
        </row>
        <row r="68">
          <cell r="B68">
            <v>45482</v>
          </cell>
        </row>
        <row r="69">
          <cell r="B69">
            <v>45484</v>
          </cell>
        </row>
        <row r="70">
          <cell r="B70">
            <v>45484</v>
          </cell>
        </row>
        <row r="71">
          <cell r="B71">
            <v>45487</v>
          </cell>
        </row>
        <row r="72">
          <cell r="B72">
            <v>45490</v>
          </cell>
        </row>
        <row r="73">
          <cell r="B73">
            <v>45490</v>
          </cell>
        </row>
        <row r="74">
          <cell r="B74">
            <v>45491</v>
          </cell>
        </row>
        <row r="75">
          <cell r="B75">
            <v>45496</v>
          </cell>
        </row>
        <row r="76">
          <cell r="B76">
            <v>45497</v>
          </cell>
        </row>
        <row r="77">
          <cell r="B77">
            <v>45498</v>
          </cell>
        </row>
        <row r="78">
          <cell r="B78">
            <v>45498</v>
          </cell>
        </row>
        <row r="79">
          <cell r="B79">
            <v>45500</v>
          </cell>
        </row>
        <row r="80">
          <cell r="B80">
            <v>45500</v>
          </cell>
        </row>
        <row r="81">
          <cell r="B81">
            <v>45501</v>
          </cell>
        </row>
        <row r="82">
          <cell r="B82">
            <v>45501</v>
          </cell>
        </row>
        <row r="83">
          <cell r="B83">
            <v>45503</v>
          </cell>
        </row>
        <row r="84">
          <cell r="B84">
            <v>45504</v>
          </cell>
        </row>
        <row r="85">
          <cell r="B85">
            <v>45509</v>
          </cell>
        </row>
        <row r="86">
          <cell r="B86">
            <v>45510</v>
          </cell>
        </row>
        <row r="87">
          <cell r="B87">
            <v>45513</v>
          </cell>
        </row>
        <row r="88">
          <cell r="B88">
            <v>45515</v>
          </cell>
        </row>
        <row r="89">
          <cell r="B89">
            <v>45517</v>
          </cell>
        </row>
        <row r="90">
          <cell r="B90">
            <v>45517</v>
          </cell>
        </row>
        <row r="91">
          <cell r="B91">
            <v>45517</v>
          </cell>
        </row>
        <row r="92">
          <cell r="B92">
            <v>45517</v>
          </cell>
        </row>
        <row r="93">
          <cell r="B93">
            <v>45519</v>
          </cell>
        </row>
        <row r="94">
          <cell r="B94">
            <v>45522</v>
          </cell>
        </row>
        <row r="95">
          <cell r="B95">
            <v>45523</v>
          </cell>
        </row>
        <row r="96">
          <cell r="B96">
            <v>45523</v>
          </cell>
        </row>
        <row r="97">
          <cell r="B97">
            <v>45526</v>
          </cell>
        </row>
        <row r="98">
          <cell r="B98">
            <v>45528</v>
          </cell>
        </row>
        <row r="99">
          <cell r="B99">
            <v>45528</v>
          </cell>
        </row>
        <row r="100">
          <cell r="B100">
            <v>45532</v>
          </cell>
        </row>
        <row r="101">
          <cell r="B101">
            <v>45532</v>
          </cell>
        </row>
        <row r="102">
          <cell r="B102">
            <v>45534</v>
          </cell>
        </row>
        <row r="103">
          <cell r="B103">
            <v>45537</v>
          </cell>
        </row>
        <row r="104">
          <cell r="B104">
            <v>45537</v>
          </cell>
        </row>
        <row r="105">
          <cell r="B105">
            <v>45538</v>
          </cell>
        </row>
        <row r="106">
          <cell r="B106">
            <v>45541</v>
          </cell>
        </row>
        <row r="107">
          <cell r="B107">
            <v>45544</v>
          </cell>
        </row>
        <row r="108">
          <cell r="B108">
            <v>45544</v>
          </cell>
        </row>
        <row r="109">
          <cell r="B109">
            <v>45545</v>
          </cell>
        </row>
        <row r="110">
          <cell r="B110">
            <v>45547</v>
          </cell>
        </row>
        <row r="111">
          <cell r="B111">
            <v>45548</v>
          </cell>
        </row>
        <row r="112">
          <cell r="B112">
            <v>45550</v>
          </cell>
        </row>
        <row r="113">
          <cell r="B113">
            <v>45551</v>
          </cell>
        </row>
        <row r="114">
          <cell r="B114">
            <v>45551</v>
          </cell>
        </row>
        <row r="115">
          <cell r="B115">
            <v>45554</v>
          </cell>
        </row>
        <row r="116">
          <cell r="B116">
            <v>45554</v>
          </cell>
        </row>
        <row r="117">
          <cell r="B117">
            <v>45554</v>
          </cell>
        </row>
        <row r="118">
          <cell r="B118">
            <v>45559</v>
          </cell>
        </row>
        <row r="119">
          <cell r="B119">
            <v>45560</v>
          </cell>
        </row>
        <row r="120">
          <cell r="B120">
            <v>45563</v>
          </cell>
        </row>
        <row r="121">
          <cell r="B121">
            <v>45564</v>
          </cell>
        </row>
        <row r="122">
          <cell r="B122">
            <v>45566</v>
          </cell>
        </row>
        <row r="123">
          <cell r="B123">
            <v>45572</v>
          </cell>
        </row>
        <row r="124">
          <cell r="B124">
            <v>45572</v>
          </cell>
        </row>
        <row r="125">
          <cell r="B125">
            <v>45573</v>
          </cell>
        </row>
        <row r="126">
          <cell r="B126">
            <v>45573</v>
          </cell>
        </row>
        <row r="127">
          <cell r="B127">
            <v>45576</v>
          </cell>
        </row>
        <row r="128">
          <cell r="B128">
            <v>45579</v>
          </cell>
        </row>
        <row r="129">
          <cell r="B129">
            <v>45581</v>
          </cell>
        </row>
        <row r="130">
          <cell r="B130">
            <v>45581</v>
          </cell>
        </row>
        <row r="131">
          <cell r="B131">
            <v>45581</v>
          </cell>
        </row>
        <row r="132">
          <cell r="B132">
            <v>45583</v>
          </cell>
        </row>
        <row r="133">
          <cell r="B133">
            <v>45586</v>
          </cell>
        </row>
        <row r="134">
          <cell r="B134">
            <v>45588</v>
          </cell>
        </row>
        <row r="135">
          <cell r="B135">
            <v>45588</v>
          </cell>
        </row>
        <row r="136">
          <cell r="B136">
            <v>45589</v>
          </cell>
        </row>
        <row r="137">
          <cell r="B137">
            <v>45592</v>
          </cell>
        </row>
        <row r="138">
          <cell r="B138">
            <v>45597</v>
          </cell>
        </row>
        <row r="139">
          <cell r="B139">
            <v>45600</v>
          </cell>
        </row>
        <row r="140">
          <cell r="B140">
            <v>45603</v>
          </cell>
        </row>
        <row r="141">
          <cell r="B141">
            <v>45604</v>
          </cell>
        </row>
        <row r="142">
          <cell r="B142">
            <v>45605</v>
          </cell>
        </row>
        <row r="143">
          <cell r="B143">
            <v>45607</v>
          </cell>
        </row>
        <row r="144">
          <cell r="B144">
            <v>45607</v>
          </cell>
        </row>
        <row r="145">
          <cell r="B145">
            <v>45607</v>
          </cell>
        </row>
        <row r="146">
          <cell r="B146">
            <v>45608</v>
          </cell>
        </row>
        <row r="147">
          <cell r="B147">
            <v>45608</v>
          </cell>
        </row>
        <row r="148">
          <cell r="B148">
            <v>45613</v>
          </cell>
        </row>
        <row r="149">
          <cell r="B149">
            <v>45613</v>
          </cell>
        </row>
        <row r="150">
          <cell r="B150">
            <v>45617</v>
          </cell>
        </row>
        <row r="151">
          <cell r="B151">
            <v>45619</v>
          </cell>
        </row>
        <row r="152">
          <cell r="B152">
            <v>45619</v>
          </cell>
        </row>
        <row r="153">
          <cell r="B153">
            <v>45622</v>
          </cell>
        </row>
        <row r="154">
          <cell r="B154">
            <v>45623</v>
          </cell>
        </row>
        <row r="155">
          <cell r="B155">
            <v>45627</v>
          </cell>
        </row>
        <row r="156">
          <cell r="B156">
            <v>45627</v>
          </cell>
        </row>
        <row r="157">
          <cell r="B157">
            <v>45627</v>
          </cell>
        </row>
        <row r="158">
          <cell r="B158">
            <v>45627</v>
          </cell>
        </row>
        <row r="159">
          <cell r="B159">
            <v>45629</v>
          </cell>
        </row>
        <row r="160">
          <cell r="B160">
            <v>45630</v>
          </cell>
        </row>
        <row r="161">
          <cell r="B161">
            <v>45635</v>
          </cell>
        </row>
        <row r="162">
          <cell r="B162">
            <v>45635</v>
          </cell>
        </row>
        <row r="163">
          <cell r="B163">
            <v>45635</v>
          </cell>
        </row>
        <row r="164">
          <cell r="B164">
            <v>45636</v>
          </cell>
        </row>
        <row r="165">
          <cell r="B165">
            <v>45638</v>
          </cell>
        </row>
        <row r="166">
          <cell r="B166">
            <v>45641</v>
          </cell>
        </row>
        <row r="167">
          <cell r="B167">
            <v>45641</v>
          </cell>
        </row>
        <row r="168">
          <cell r="B168">
            <v>45644</v>
          </cell>
        </row>
        <row r="169">
          <cell r="B169">
            <v>45645</v>
          </cell>
        </row>
        <row r="170">
          <cell r="B170">
            <v>45645</v>
          </cell>
        </row>
        <row r="171">
          <cell r="B171">
            <v>45646</v>
          </cell>
        </row>
        <row r="172">
          <cell r="B172">
            <v>45648</v>
          </cell>
        </row>
        <row r="173">
          <cell r="B173">
            <v>45648</v>
          </cell>
        </row>
        <row r="174">
          <cell r="B174">
            <v>45649</v>
          </cell>
        </row>
        <row r="175">
          <cell r="B175">
            <v>45654</v>
          </cell>
        </row>
        <row r="176">
          <cell r="B176">
            <v>45654</v>
          </cell>
        </row>
        <row r="177">
          <cell r="B177">
            <v>45655</v>
          </cell>
        </row>
        <row r="178">
          <cell r="B178">
            <v>45655</v>
          </cell>
        </row>
        <row r="179">
          <cell r="B179">
            <v>45657</v>
          </cell>
        </row>
        <row r="180">
          <cell r="B180">
            <v>45660</v>
          </cell>
        </row>
        <row r="181">
          <cell r="B181">
            <v>45661</v>
          </cell>
        </row>
        <row r="182">
          <cell r="B182">
            <v>45663</v>
          </cell>
        </row>
        <row r="183">
          <cell r="B183">
            <v>45663</v>
          </cell>
        </row>
        <row r="184">
          <cell r="B184">
            <v>45666</v>
          </cell>
        </row>
        <row r="185">
          <cell r="B185">
            <v>45667</v>
          </cell>
        </row>
        <row r="186">
          <cell r="B186">
            <v>45667</v>
          </cell>
        </row>
        <row r="187">
          <cell r="B187">
            <v>45668</v>
          </cell>
        </row>
        <row r="188">
          <cell r="B188">
            <v>45668</v>
          </cell>
        </row>
        <row r="189">
          <cell r="B189">
            <v>45670</v>
          </cell>
        </row>
        <row r="190">
          <cell r="B190">
            <v>45670</v>
          </cell>
        </row>
        <row r="191">
          <cell r="B191">
            <v>45671</v>
          </cell>
        </row>
        <row r="192">
          <cell r="B192">
            <v>45671</v>
          </cell>
        </row>
        <row r="193">
          <cell r="B193">
            <v>45671</v>
          </cell>
        </row>
        <row r="194">
          <cell r="B194">
            <v>45673</v>
          </cell>
        </row>
        <row r="195">
          <cell r="B195">
            <v>45673</v>
          </cell>
        </row>
        <row r="196">
          <cell r="B196">
            <v>45673</v>
          </cell>
        </row>
        <row r="197">
          <cell r="B197">
            <v>45676</v>
          </cell>
        </row>
        <row r="198">
          <cell r="B198">
            <v>45682</v>
          </cell>
        </row>
        <row r="199">
          <cell r="B199">
            <v>45683</v>
          </cell>
        </row>
        <row r="200">
          <cell r="B200">
            <v>45686</v>
          </cell>
        </row>
        <row r="201">
          <cell r="B201">
            <v>45686</v>
          </cell>
        </row>
        <row r="202">
          <cell r="B202">
            <v>45686</v>
          </cell>
        </row>
        <row r="203">
          <cell r="B203">
            <v>45688</v>
          </cell>
        </row>
        <row r="204">
          <cell r="B204">
            <v>45688</v>
          </cell>
        </row>
        <row r="205">
          <cell r="B205">
            <v>45688</v>
          </cell>
        </row>
        <row r="206">
          <cell r="B206">
            <v>45692</v>
          </cell>
        </row>
        <row r="207">
          <cell r="B207">
            <v>45695</v>
          </cell>
        </row>
        <row r="208">
          <cell r="B208">
            <v>45695</v>
          </cell>
        </row>
        <row r="209">
          <cell r="B209">
            <v>45696</v>
          </cell>
        </row>
        <row r="210">
          <cell r="B210">
            <v>45701</v>
          </cell>
        </row>
        <row r="211">
          <cell r="B211">
            <v>45704</v>
          </cell>
        </row>
        <row r="212">
          <cell r="B212">
            <v>45704</v>
          </cell>
        </row>
        <row r="213">
          <cell r="B213">
            <v>45705</v>
          </cell>
        </row>
        <row r="214">
          <cell r="B214">
            <v>45707</v>
          </cell>
        </row>
        <row r="215">
          <cell r="B215">
            <v>45707</v>
          </cell>
        </row>
        <row r="216">
          <cell r="B216">
            <v>45708</v>
          </cell>
        </row>
        <row r="217">
          <cell r="B217">
            <v>45708</v>
          </cell>
        </row>
        <row r="218">
          <cell r="B218">
            <v>45710</v>
          </cell>
        </row>
        <row r="219">
          <cell r="B219">
            <v>45710</v>
          </cell>
        </row>
        <row r="220">
          <cell r="B220">
            <v>45711</v>
          </cell>
        </row>
        <row r="221">
          <cell r="B221">
            <v>45711</v>
          </cell>
        </row>
        <row r="222">
          <cell r="B222">
            <v>45711</v>
          </cell>
        </row>
        <row r="223">
          <cell r="B223">
            <v>45712</v>
          </cell>
        </row>
        <row r="224">
          <cell r="B224">
            <v>45715</v>
          </cell>
        </row>
        <row r="225">
          <cell r="B225">
            <v>45715</v>
          </cell>
        </row>
        <row r="226">
          <cell r="B226">
            <v>45718</v>
          </cell>
        </row>
        <row r="227">
          <cell r="B227">
            <v>45720</v>
          </cell>
        </row>
        <row r="228">
          <cell r="B228">
            <v>45721</v>
          </cell>
        </row>
        <row r="229">
          <cell r="B229">
            <v>45723</v>
          </cell>
        </row>
        <row r="230">
          <cell r="B230">
            <v>45723</v>
          </cell>
        </row>
        <row r="231">
          <cell r="B231">
            <v>45724</v>
          </cell>
        </row>
        <row r="232">
          <cell r="B232">
            <v>45724</v>
          </cell>
        </row>
        <row r="233">
          <cell r="B233">
            <v>45724</v>
          </cell>
        </row>
        <row r="234">
          <cell r="B234">
            <v>45726</v>
          </cell>
        </row>
        <row r="235">
          <cell r="B235">
            <v>45734</v>
          </cell>
        </row>
        <row r="236">
          <cell r="B236">
            <v>45737</v>
          </cell>
        </row>
        <row r="237">
          <cell r="B237">
            <v>45737</v>
          </cell>
        </row>
        <row r="238">
          <cell r="B238">
            <v>45737</v>
          </cell>
        </row>
        <row r="239">
          <cell r="B239">
            <v>45739</v>
          </cell>
        </row>
        <row r="240">
          <cell r="B240">
            <v>45740</v>
          </cell>
        </row>
        <row r="241">
          <cell r="B241">
            <v>45743</v>
          </cell>
        </row>
        <row r="242">
          <cell r="B242">
            <v>45745</v>
          </cell>
        </row>
        <row r="243">
          <cell r="B243">
            <v>45746</v>
          </cell>
        </row>
        <row r="244">
          <cell r="B244">
            <v>45746</v>
          </cell>
        </row>
        <row r="245">
          <cell r="B245">
            <v>45748</v>
          </cell>
        </row>
        <row r="246">
          <cell r="B246">
            <v>45749</v>
          </cell>
        </row>
        <row r="247">
          <cell r="B247">
            <v>45755</v>
          </cell>
        </row>
        <row r="248">
          <cell r="B248">
            <v>45756</v>
          </cell>
        </row>
        <row r="249">
          <cell r="B249">
            <v>45758</v>
          </cell>
        </row>
        <row r="250">
          <cell r="B250">
            <v>45758</v>
          </cell>
        </row>
        <row r="251">
          <cell r="B251">
            <v>45758</v>
          </cell>
        </row>
      </sheetData>
      <sheetData sheetId="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570971064815" backgroundQuery="1" createdVersion="8" refreshedVersion="8" minRefreshableVersion="3" recordCount="0" supportSubquery="1" supportAdvancedDrill="1" xr:uid="{CE2D9429-6B22-414D-A901-B03989223D9E}">
  <cacheSource type="external" connectionId="1"/>
  <cacheFields count="2">
    <cacheField name="[Table1].[Category].[Category]" caption="Category" numFmtId="0" hierarchy="6" level="1">
      <sharedItems count="3">
        <s v="Appliances"/>
        <s v="Electronics"/>
        <s v="Furniture"/>
      </sharedItems>
    </cacheField>
    <cacheField name="[Measures].[Sum of Total_Amount]" caption="Sum of Total_Amount" numFmtId="0" hierarchy="21" level="32767"/>
  </cacheFields>
  <cacheHierarchies count="24">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57097291667" backgroundQuery="1" createdVersion="8" refreshedVersion="8" minRefreshableVersion="3" recordCount="0" supportSubquery="1" supportAdvancedDrill="1" xr:uid="{426F7E26-1508-4D76-93BE-9831A1BD0EB2}">
  <cacheSource type="external" connectionId="1"/>
  <cacheFields count="2">
    <cacheField name="[Table1].[Payment_Method].[Payment_Method]" caption="Payment_Method" numFmtId="0" hierarchy="9" level="1">
      <sharedItems count="4">
        <s v="Cash"/>
        <s v="Credit Card"/>
        <s v="Debit Card"/>
        <s v="PayPal"/>
      </sharedItems>
    </cacheField>
    <cacheField name="[Measures].[Count of Total_Amount]" caption="Count of Total_Amount" numFmtId="0" hierarchy="22" level="32767"/>
  </cacheFields>
  <cacheHierarchies count="24">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hidden="1">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570974768518" backgroundQuery="1" createdVersion="8" refreshedVersion="8" minRefreshableVersion="3" recordCount="0" supportSubquery="1" supportAdvancedDrill="1" xr:uid="{CA5B1B97-8564-477A-8217-5C6208C7E397}">
  <cacheSource type="external" connectionId="1"/>
  <cacheFields count="2">
    <cacheField name="[Table1].[Product_Name].[Product_Name]" caption="Product_Name" numFmtId="0" hierarchy="5" level="1">
      <sharedItems count="10">
        <s v="Blender"/>
        <s v="Bookshelf"/>
        <s v="Coffee Maker"/>
        <s v="Desk"/>
        <s v="Headphones"/>
        <s v="Keyboard"/>
        <s v="Laptop"/>
        <s v="Monitor"/>
        <s v="Office Chair"/>
        <s v="Smartphone"/>
      </sharedItems>
    </cacheField>
    <cacheField name="[Measures].[Sum of Total_Amount]" caption="Sum of Total_Amount" numFmtId="0" hierarchy="21" level="32767"/>
  </cacheFields>
  <cacheHierarchies count="24">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573520370373" backgroundQuery="1" createdVersion="8" refreshedVersion="8" minRefreshableVersion="3" recordCount="0" supportSubquery="1" supportAdvancedDrill="1" xr:uid="{E8B252DB-F078-4919-ABA4-E71FE9D154FA}">
  <cacheSource type="external" connectionId="1"/>
  <cacheFields count="3">
    <cacheField name="[Table1].[Date (Month)].[Date (Month)]" caption="Date (Month)" numFmtId="0" hierarchy="16" level="1">
      <sharedItems count="12">
        <s v="Jan"/>
        <s v="Feb"/>
        <s v="Mar"/>
        <s v="Apr"/>
        <s v="May"/>
        <s v="Jun"/>
        <s v="Jul"/>
        <s v="Aug"/>
        <s v="Sep"/>
        <s v="Oct"/>
        <s v="Nov"/>
        <s v="Dec"/>
      </sharedItems>
    </cacheField>
    <cacheField name="[Measures].[Sum of Total_Amount]" caption="Sum of Total_Amount" numFmtId="0" hierarchy="21" level="32767"/>
    <cacheField name="[Table1].[Date].[Date]" caption="Date" numFmtId="0" hierarchy="1" level="1">
      <sharedItems containsSemiMixedTypes="0" containsNonDate="0" containsString="0"/>
    </cacheField>
  </cacheFields>
  <cacheHierarchies count="24">
    <cacheHierarchy uniqueName="[Table1].[Transaction_ID]" caption="Transaction_ID" attribute="1" defaultMemberUniqueName="[Table1].[Transaction_ID].[All]" allUniqueName="[Table1].[Transaction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Customer_ID]" caption="Customer_ID" attribute="1" defaultMemberUniqueName="[Table1].[Customer_ID].[All]" allUniqueName="[Table1].[Customer_ID].[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ustomer_Since]" caption="Customer_Since" attribute="1" time="1" defaultMemberUniqueName="[Table1].[Customer_Since].[All]" allUniqueName="[Table1].[Customer_Since].[All]" dimensionUniqueName="[Table1]" displayFolder="" count="2" memberValueDatatype="7" unbalanced="0"/>
    <cacheHierarchy uniqueName="[Table1].[Total_Amount]" caption="Total_Amount" attribute="1" defaultMemberUniqueName="[Table1].[Total_Amount].[All]" allUniqueName="[Table1].[Total_Amount].[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573520370373" backgroundQuery="1" createdVersion="8" refreshedVersion="8" minRefreshableVersion="3" recordCount="0" supportSubquery="1" supportAdvancedDrill="1" xr:uid="{5E420605-D3EC-4906-96EC-26BF5BAE9D6F}">
  <cacheSource type="external" connectionId="1"/>
  <cacheFields count="3">
    <cacheField name="[Table1].[Date (Month)].[Date (Month)]" caption="Date (Month)" numFmtId="0" hierarchy="16" level="1">
      <sharedItems count="12">
        <s v="Jan"/>
        <s v="Feb"/>
        <s v="Mar"/>
        <s v="Apr"/>
        <s v="May"/>
        <s v="Jun"/>
        <s v="Jul"/>
        <s v="Aug"/>
        <s v="Sep"/>
        <s v="Oct"/>
        <s v="Nov"/>
        <s v="Dec"/>
      </sharedItems>
    </cacheField>
    <cacheField name="[Measures].[Sum of Total_Amount]" caption="Sum of Total_Amount" numFmtId="0" hierarchy="21" level="32767"/>
    <cacheField name="[Table1].[Date].[Date]" caption="Date" numFmtId="0" hierarchy="1" level="1">
      <sharedItems containsSemiMixedTypes="0" containsNonDate="0" containsString="0"/>
    </cacheField>
  </cacheFields>
  <cacheHierarchies count="24">
    <cacheHierarchy uniqueName="[Table1].[Transaction_ID]" caption="Transaction_ID" attribute="1" defaultMemberUniqueName="[Table1].[Transaction_ID].[All]" allUniqueName="[Table1].[Transaction_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2"/>
      </fieldsUsage>
    </cacheHierarchy>
    <cacheHierarchy uniqueName="[Table1].[Customer_ID]" caption="Customer_ID" attribute="1" defaultMemberUniqueName="[Table1].[Customer_ID].[All]" allUniqueName="[Table1].[Customer_ID].[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Product_ID]" caption="Product_ID" attribute="1" defaultMemberUniqueName="[Table1].[Product_ID].[All]" allUniqueName="[Table1].[Product_ID].[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5" unbalanced="0"/>
    <cacheHierarchy uniqueName="[Table1].[Payment_Method]" caption="Payment_Method" attribute="1" defaultMemberUniqueName="[Table1].[Payment_Method].[All]" allUniqueName="[Table1].[Payment_Metho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ustomer_Since]" caption="Customer_Since" attribute="1" time="1" defaultMemberUniqueName="[Table1].[Customer_Since].[All]" allUniqueName="[Table1].[Customer_Since].[All]" dimensionUniqueName="[Table1]" displayFolder="" count="2" memberValueDatatype="7" unbalanced="0"/>
    <cacheHierarchy uniqueName="[Table1].[Total_Amount]" caption="Total_Amount" attribute="1" defaultMemberUniqueName="[Table1].[Total_Amount].[All]" allUniqueName="[Table1].[Total_Amount].[All]" dimensionUniqueName="[Table1]" displayFolder="" count="2" memberValueDatatype="5"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633598726854" backgroundQuery="1" createdVersion="8" refreshedVersion="8" minRefreshableVersion="3" recordCount="0" supportSubquery="1" supportAdvancedDrill="1" xr:uid="{104E835F-255B-4E36-ADD5-31677E452AD3}">
  <cacheSource type="external" connectionId="1"/>
  <cacheFields count="3">
    <cacheField name="[Table1].[Region].[Region]" caption="Region" numFmtId="0" hierarchy="10" level="1">
      <sharedItems count="5">
        <s v="Central"/>
        <s v="East"/>
        <s v="North"/>
        <s v="South"/>
        <s v="West"/>
      </sharedItems>
    </cacheField>
    <cacheField name="[Measures].[Sum of Total_Amount]" caption="Sum of Total_Amount" numFmtId="0" hierarchy="21" level="32767"/>
    <cacheField name="[Table1].[Category].[Category]" caption="Category" numFmtId="0" hierarchy="6" level="1">
      <sharedItems containsSemiMixedTypes="0" containsNonDate="0" containsString="0"/>
    </cacheField>
  </cacheFields>
  <cacheHierarchies count="24">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si" refreshedDate="46173.570966319443" backgroundQuery="1" createdVersion="3" refreshedVersion="8" minRefreshableVersion="3" recordCount="0" supportSubquery="1" supportAdvancedDrill="1" xr:uid="{9F10A309-75E6-489B-A406-7C3CC2CDEC58}">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Transaction_ID]" caption="Transaction_ID" attribute="1" defaultMemberUniqueName="[Table1].[Transaction_ID].[All]" allUniqueName="[Table1].[Transaction_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ustomer_Since]" caption="Customer_Since" attribute="1" time="1" defaultMemberUniqueName="[Table1].[Customer_Since].[All]" allUniqueName="[Table1].[Customer_Since].[All]" dimensionUniqueName="[Table1]" displayFolder="" count="0" memberValueDatatype="7" unbalanced="0"/>
    <cacheHierarchy uniqueName="[Table1].[Total_Amount]" caption="Total_Amount" attribute="1" defaultMemberUniqueName="[Table1].[Total_Amount].[All]" allUniqueName="[Table1].[Total_Amount].[All]" dimensionUniqueName="[Table1]" displayFolder="" count="0" memberValueDatatype="5"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_Price]" caption="Sum of Unit_Price" measure="1" displayFolder="" measureGroup="Table1" count="0" hidden="1">
      <extLst>
        <ext xmlns:x15="http://schemas.microsoft.com/office/spreadsheetml/2010/11/main" uri="{B97F6D7D-B522-45F9-BDA1-12C45D357490}">
          <x15:cacheHierarchy aggregatedColumn="8"/>
        </ext>
      </extLst>
    </cacheHierarchy>
    <cacheHierarchy uniqueName="[Measures].[Sum of Total_Amount]" caption="Sum of Total_Amount" measure="1" displayFolder="" measureGroup="Table1" count="0" hidden="1">
      <extLst>
        <ext xmlns:x15="http://schemas.microsoft.com/office/spreadsheetml/2010/11/main" uri="{B97F6D7D-B522-45F9-BDA1-12C45D357490}">
          <x15:cacheHierarchy aggregatedColumn="13"/>
        </ext>
      </extLst>
    </cacheHierarchy>
    <cacheHierarchy uniqueName="[Measures].[Count of Total_Amount]" caption="Count of Total_Amount" measure="1" displayFolder="" measureGroup="Table1"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39298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B33070-DA01-4589-B6DD-7275C674AFCB}" name="PivotTable11" cacheId="37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Months">
  <location ref="AJ1:AK14"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numFmtId="1"/>
  </dataFields>
  <formats count="15">
    <format dxfId="0">
      <pivotArea type="all" dataOnly="0" outline="0" fieldPosition="0"/>
    </format>
    <format dxfId="1">
      <pivotArea outline="0" collapsedLevelsAreSubtotals="1" fieldPosition="0"/>
    </format>
    <format dxfId="2">
      <pivotArea field="0" type="button" dataOnly="0" labelOnly="1" outline="0" axis="axisRow" fieldPosition="0"/>
    </format>
    <format dxfId="3">
      <pivotArea dataOnly="0" labelOnly="1" fieldPosition="0">
        <references count="1">
          <reference field="0" count="0"/>
        </references>
      </pivotArea>
    </format>
    <format dxfId="4">
      <pivotArea dataOnly="0" labelOnly="1" grandRow="1" outline="0" fieldPosition="0"/>
    </format>
    <format dxfId="5">
      <pivotArea dataOnly="0" labelOnly="1" outline="0" axis="axisValues" fieldPosition="0"/>
    </format>
    <format dxfId="6">
      <pivotArea grandRow="1" outline="0" collapsedLevelsAreSubtotals="1" fieldPosition="0"/>
    </format>
    <format dxfId="7">
      <pivotArea type="all" dataOnly="0" outline="0" fieldPosition="0"/>
    </format>
    <format dxfId="8">
      <pivotArea outline="0" collapsedLevelsAreSubtotals="1" fieldPosition="0"/>
    </format>
    <format dxfId="9">
      <pivotArea field="0" type="button" dataOnly="0" labelOnly="1" outline="0" axis="axisRow" fieldPosition="0"/>
    </format>
    <format dxfId="10">
      <pivotArea dataOnly="0" labelOnly="1" fieldPosition="0">
        <references count="1">
          <reference field="0" count="0"/>
        </references>
      </pivotArea>
    </format>
    <format dxfId="11">
      <pivotArea dataOnly="0" labelOnly="1" grandRow="1" outline="0" fieldPosition="0"/>
    </format>
    <format dxfId="12">
      <pivotArea dataOnly="0" labelOnly="1" outline="0" axis="axisValues" fieldPosition="0"/>
    </format>
    <format dxfId="13">
      <pivotArea outline="0" collapsedLevelsAreSubtotals="1" fieldPosition="0"/>
    </format>
    <format dxfId="14">
      <pivotArea collapsedLevelsAreSubtotals="1" fieldPosition="0">
        <references count="1">
          <reference field="0" count="0"/>
        </references>
      </pivotArea>
    </format>
  </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6" name="[Table1].[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_Final_Project_Dashboar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67D6BB-B45E-40D6-8148-86C1602EC111}" name="PivotTable6" cacheId="28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rowHeaderCaption="Months">
  <location ref="A76:B8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Amount" fld="1"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6" name="[Table1].[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_Final_Project_Dashboar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D5412C-7637-47DE-ACB9-5073E58BAE47}" name="PivotTable4" cacheId="1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58:B6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venue"/>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_Final_Project_Dashboar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692895-19BD-4924-B9BD-D46D07443F0F}" name="PivotTable3" cacheId="1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Payment method">
  <location ref="A38:B4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 fld="1" subtotal="count"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0" count="1" selected="0">
            <x v="0"/>
          </reference>
        </references>
      </pivotArea>
    </chartFormat>
    <chartFormat chart="10" format="11">
      <pivotArea type="data" outline="0" fieldPosition="0">
        <references count="2">
          <reference field="4294967294" count="1" selected="0">
            <x v="0"/>
          </reference>
          <reference field="0" count="1" selected="0">
            <x v="1"/>
          </reference>
        </references>
      </pivotArea>
    </chartFormat>
    <chartFormat chart="10" format="12">
      <pivotArea type="data" outline="0" fieldPosition="0">
        <references count="2">
          <reference field="4294967294" count="1" selected="0">
            <x v="0"/>
          </reference>
          <reference field="0" count="1" selected="0">
            <x v="2"/>
          </reference>
        </references>
      </pivotArea>
    </chartFormat>
    <chartFormat chart="10" format="13">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_Final_Project_Dashboar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E5450F-4C72-4A49-8890-6B4EB4388546}" name="PivotTable1" cacheId="3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Region">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Revenue" fld="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members count="1" level="1">
        <member name="[Table1].[Category].&amp;[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venue"/>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_Final_Project_Dashboar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1D5A39-58B9-498F-AF1A-56A7B9CBD4FD}" name="PivotTable2" cacheId="1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Product">
  <location ref="A20:B31" firstHeaderRow="1" firstDataRow="1" firstDataCol="1"/>
  <pivotFields count="2">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Revenue"/>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_Final_Project_Dashboard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C01BCE-4DCE-47E5-A448-96C8121095BC}" sourceName="[Table1].[Category]">
  <pivotTables>
    <pivotTable tabId="8" name="PivotTable1"/>
  </pivotTables>
  <data>
    <olap pivotCacheId="63929875">
      <levels count="2">
        <level uniqueName="[Table1].[Category].[(All)]" sourceCaption="(All)" count="0"/>
        <level uniqueName="[Table1].[Category].[Category]" sourceCaption="Category" count="3">
          <ranges>
            <range startItem="0">
              <i n="[Table1].[Category].&amp;[Appliances]" c="Appliances"/>
              <i n="[Table1].[Category].&amp;[Electronics]" c="Electronics"/>
              <i n="[Table1].[Category].&amp;[Furniture]" c="Furniture"/>
            </range>
          </ranges>
        </level>
      </levels>
      <selections count="1">
        <selection n="[Table1].[Category].&amp;[Applianc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4731CEB-E108-4AFB-B193-88645E101EB1}" cache="Slicer_Category" caption="Category" level="1" style="SlicerStyleLight4" rowHeight="68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12F6868-433C-4AB7-B1B8-BD4FE0138BDE}" cache="Slicer_Category" caption="Category" level="1" style="SlicerStyleLight4" rowHeight="68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39AC36-3C29-4CAD-ABE3-429D57846E3F}" name="Table1" displayName="Table1" ref="A1:N251" totalsRowShown="0" headerRowDxfId="16" dataDxfId="17" headerRowBorderDxfId="32" tableBorderDxfId="33">
  <autoFilter ref="A1:N251" xr:uid="{1039AC36-3C29-4CAD-ABE3-429D57846E3F}"/>
  <tableColumns count="14">
    <tableColumn id="1" xr3:uid="{B38816A0-DAA7-4F1F-8FB6-EB373B1D8BAF}" name="Transaction_ID" dataDxfId="31"/>
    <tableColumn id="2" xr3:uid="{FCC815C1-EE21-4E68-B224-0DAFA4CF700E}" name="Date" dataDxfId="30"/>
    <tableColumn id="3" xr3:uid="{FEECF41D-42E9-48EB-89C5-0BAFAC84B38B}" name="Customer_ID" dataDxfId="29"/>
    <tableColumn id="4" xr3:uid="{12B8D29F-1F16-4DAD-8AD6-915CFCBCA1F0}" name="Customer_Name" dataDxfId="28"/>
    <tableColumn id="5" xr3:uid="{97188DC5-B902-46B1-AFDD-1CFCCC2AF92F}" name="Product_ID" dataDxfId="27"/>
    <tableColumn id="6" xr3:uid="{88CD37BA-8047-4F48-8AC5-B5C7A45F364B}" name="Product_Name" dataDxfId="26"/>
    <tableColumn id="7" xr3:uid="{5E6015B0-6363-4263-B51D-7BD7E6D9B770}" name="Category" dataDxfId="25"/>
    <tableColumn id="8" xr3:uid="{6AD506BF-15EF-48A7-9E76-6494B84E22C3}" name="Quantity" dataDxfId="24"/>
    <tableColumn id="9" xr3:uid="{B742F787-B0E7-43E4-9CC8-9678CD00B524}" name="Unit_Price" dataDxfId="23"/>
    <tableColumn id="10" xr3:uid="{E2345709-F59F-44D2-8B5A-FBA6B5AA2D18}" name="Payment_Method" dataDxfId="22"/>
    <tableColumn id="11" xr3:uid="{EBB33E73-E30D-4D9A-A676-688974BE016F}" name="Region" dataDxfId="21"/>
    <tableColumn id="12" xr3:uid="{180EAB97-892B-49B7-9851-F8846846915F}" name="Customer_Segment" dataDxfId="20"/>
    <tableColumn id="13" xr3:uid="{169ABF19-7755-424F-BA80-A154C3C40C03}" name="Customer_Since" dataDxfId="19"/>
    <tableColumn id="14" xr3:uid="{9F451715-7F98-40BD-A817-A40DD4A6EA7C}" name="Total_Amount" dataDxfId="18">
      <calculatedColumnFormula>I2*H2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3E60D-A46A-4FB1-B3E2-299999C8C1B6}">
  <dimension ref="E1:AK15"/>
  <sheetViews>
    <sheetView showGridLines="0" tabSelected="1" zoomScale="72" zoomScaleNormal="75" workbookViewId="0">
      <selection activeCell="AE28" sqref="AE28"/>
    </sheetView>
  </sheetViews>
  <sheetFormatPr defaultRowHeight="14.4" x14ac:dyDescent="0.3"/>
  <cols>
    <col min="1" max="1" width="9" style="77" customWidth="1"/>
    <col min="2" max="4" width="8.88671875" style="77"/>
    <col min="5" max="5" width="19.33203125" style="77" customWidth="1"/>
    <col min="6" max="13" width="8.88671875" style="77"/>
    <col min="14" max="14" width="8.88671875" style="77" customWidth="1"/>
    <col min="15" max="31" width="8.88671875" style="77"/>
    <col min="32" max="32" width="5.5546875" style="77" customWidth="1"/>
    <col min="33" max="33" width="12.77734375" style="77" customWidth="1"/>
    <col min="34" max="34" width="22.77734375" style="77" customWidth="1"/>
    <col min="35" max="35" width="8.88671875" style="77"/>
    <col min="36" max="36" width="15.77734375" style="77" customWidth="1"/>
    <col min="37" max="37" width="22.109375" style="77" customWidth="1"/>
    <col min="38" max="16384" width="8.88671875" style="77"/>
  </cols>
  <sheetData>
    <row r="1" spans="5:37" x14ac:dyDescent="0.3">
      <c r="AJ1" s="78" t="s">
        <v>493</v>
      </c>
      <c r="AK1" s="79" t="s">
        <v>478</v>
      </c>
    </row>
    <row r="2" spans="5:37" x14ac:dyDescent="0.3">
      <c r="AJ2" s="79" t="s">
        <v>490</v>
      </c>
      <c r="AK2" s="81">
        <v>25799.15</v>
      </c>
    </row>
    <row r="3" spans="5:37" x14ac:dyDescent="0.3">
      <c r="AJ3" s="79" t="s">
        <v>491</v>
      </c>
      <c r="AK3" s="81">
        <v>16069.380000000001</v>
      </c>
    </row>
    <row r="4" spans="5:37" x14ac:dyDescent="0.3">
      <c r="AJ4" s="79" t="s">
        <v>492</v>
      </c>
      <c r="AK4" s="81">
        <v>19899.379999999997</v>
      </c>
    </row>
    <row r="5" spans="5:37" x14ac:dyDescent="0.3">
      <c r="AJ5" s="79" t="s">
        <v>481</v>
      </c>
      <c r="AK5" s="81">
        <v>27899.160000000007</v>
      </c>
    </row>
    <row r="6" spans="5:37" x14ac:dyDescent="0.3">
      <c r="AJ6" s="79" t="s">
        <v>482</v>
      </c>
      <c r="AK6" s="81">
        <v>17039.349999999999</v>
      </c>
    </row>
    <row r="7" spans="5:37" x14ac:dyDescent="0.3">
      <c r="AJ7" s="79" t="s">
        <v>483</v>
      </c>
      <c r="AK7" s="81">
        <v>19299.45</v>
      </c>
    </row>
    <row r="8" spans="5:37" x14ac:dyDescent="0.3">
      <c r="AJ8" s="79" t="s">
        <v>484</v>
      </c>
      <c r="AK8" s="81">
        <v>18479.399999999994</v>
      </c>
    </row>
    <row r="9" spans="5:37" x14ac:dyDescent="0.3">
      <c r="AJ9" s="79" t="s">
        <v>485</v>
      </c>
      <c r="AK9" s="81">
        <v>15759.429999999997</v>
      </c>
    </row>
    <row r="10" spans="5:37" x14ac:dyDescent="0.3">
      <c r="AJ10" s="79" t="s">
        <v>486</v>
      </c>
      <c r="AK10" s="81">
        <v>12989.509999999998</v>
      </c>
    </row>
    <row r="11" spans="5:37" x14ac:dyDescent="0.3">
      <c r="AJ11" s="79" t="s">
        <v>487</v>
      </c>
      <c r="AK11" s="81">
        <v>20609.52</v>
      </c>
    </row>
    <row r="12" spans="5:37" x14ac:dyDescent="0.3">
      <c r="AJ12" s="79" t="s">
        <v>488</v>
      </c>
      <c r="AK12" s="81">
        <v>12309.439999999999</v>
      </c>
    </row>
    <row r="13" spans="5:37" x14ac:dyDescent="0.3">
      <c r="AJ13" s="79" t="s">
        <v>489</v>
      </c>
      <c r="AK13" s="81">
        <v>23039.3</v>
      </c>
    </row>
    <row r="14" spans="5:37" x14ac:dyDescent="0.3">
      <c r="AJ14" s="79" t="s">
        <v>477</v>
      </c>
      <c r="AK14" s="80">
        <v>229192.47000000032</v>
      </c>
    </row>
    <row r="15" spans="5:37" x14ac:dyDescent="0.3">
      <c r="E15" s="82"/>
    </row>
  </sheetData>
  <phoneticPr fontId="26"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0" zoomScaleNormal="80" workbookViewId="0">
      <pane ySplit="1" topLeftCell="A2" activePane="bottomLeft" state="frozen"/>
      <selection pane="bottomLeft" activeCell="C23" sqref="C23"/>
    </sheetView>
  </sheetViews>
  <sheetFormatPr defaultColWidth="14.44140625" defaultRowHeight="14.4" x14ac:dyDescent="0.3"/>
  <cols>
    <col min="1" max="1" width="25.21875" customWidth="1"/>
    <col min="2" max="2" width="16.88671875" customWidth="1"/>
    <col min="3" max="3" width="21.77734375" customWidth="1"/>
    <col min="4" max="4" width="24.21875" customWidth="1"/>
    <col min="5" max="5" width="20.109375" customWidth="1"/>
    <col min="6" max="6" width="22.88671875" customWidth="1"/>
    <col min="7" max="7" width="18" customWidth="1"/>
    <col min="8" max="8" width="15.6640625" customWidth="1"/>
    <col min="9" max="9" width="18.33203125" customWidth="1"/>
    <col min="10" max="10" width="25" customWidth="1"/>
    <col min="11" max="11" width="13.21875" customWidth="1"/>
    <col min="12" max="12" width="26.88671875" customWidth="1"/>
    <col min="13" max="13" width="25.109375" customWidth="1"/>
    <col min="14" max="14" width="20.77734375" customWidth="1"/>
    <col min="15" max="26" width="8.6640625" customWidth="1"/>
  </cols>
  <sheetData>
    <row r="1" spans="1:26" ht="21" customHeight="1" x14ac:dyDescent="0.3">
      <c r="A1" s="70" t="s">
        <v>0</v>
      </c>
      <c r="B1" s="70" t="s">
        <v>1</v>
      </c>
      <c r="C1" s="70" t="s">
        <v>2</v>
      </c>
      <c r="D1" s="70" t="s">
        <v>3</v>
      </c>
      <c r="E1" s="70" t="s">
        <v>4</v>
      </c>
      <c r="F1" s="70" t="s">
        <v>5</v>
      </c>
      <c r="G1" s="70" t="s">
        <v>6</v>
      </c>
      <c r="H1" s="70" t="s">
        <v>7</v>
      </c>
      <c r="I1" s="70" t="s">
        <v>8</v>
      </c>
      <c r="J1" s="70" t="s">
        <v>9</v>
      </c>
      <c r="K1" s="70" t="s">
        <v>10</v>
      </c>
      <c r="L1" s="70" t="s">
        <v>11</v>
      </c>
      <c r="M1" s="70" t="s">
        <v>12</v>
      </c>
      <c r="N1" s="70" t="s">
        <v>13</v>
      </c>
      <c r="O1" s="2"/>
      <c r="P1" s="2"/>
      <c r="Q1" s="2"/>
      <c r="R1" s="2"/>
      <c r="S1" s="2"/>
      <c r="T1" s="2"/>
      <c r="U1" s="2"/>
      <c r="V1" s="2"/>
      <c r="W1" s="2"/>
      <c r="X1" s="2"/>
      <c r="Y1" s="2"/>
      <c r="Z1" s="2"/>
    </row>
    <row r="2" spans="1:26" ht="18" customHeight="1" x14ac:dyDescent="0.35">
      <c r="A2" s="63" t="s">
        <v>14</v>
      </c>
      <c r="B2" s="64">
        <v>45393</v>
      </c>
      <c r="C2" s="63" t="s">
        <v>15</v>
      </c>
      <c r="D2" s="63" t="s">
        <v>16</v>
      </c>
      <c r="E2" s="63" t="s">
        <v>17</v>
      </c>
      <c r="F2" s="63" t="s">
        <v>18</v>
      </c>
      <c r="G2" s="63" t="s">
        <v>19</v>
      </c>
      <c r="H2" s="63">
        <v>3</v>
      </c>
      <c r="I2" s="63">
        <v>249.99</v>
      </c>
      <c r="J2" s="63" t="s">
        <v>20</v>
      </c>
      <c r="K2" s="63" t="s">
        <v>21</v>
      </c>
      <c r="L2" s="63" t="s">
        <v>22</v>
      </c>
      <c r="M2" s="64">
        <v>44425</v>
      </c>
      <c r="N2" s="65">
        <f>I2*H2</f>
        <v>749.97</v>
      </c>
    </row>
    <row r="3" spans="1:26" ht="18" customHeight="1" x14ac:dyDescent="0.35">
      <c r="A3" s="66" t="s">
        <v>23</v>
      </c>
      <c r="B3" s="67">
        <v>45396</v>
      </c>
      <c r="C3" s="66" t="s">
        <v>24</v>
      </c>
      <c r="D3" s="66" t="s">
        <v>25</v>
      </c>
      <c r="E3" s="66" t="s">
        <v>17</v>
      </c>
      <c r="F3" s="66" t="s">
        <v>18</v>
      </c>
      <c r="G3" s="66" t="s">
        <v>19</v>
      </c>
      <c r="H3" s="66">
        <v>3</v>
      </c>
      <c r="I3" s="66">
        <v>249.99</v>
      </c>
      <c r="J3" s="66" t="s">
        <v>26</v>
      </c>
      <c r="K3" s="66" t="s">
        <v>21</v>
      </c>
      <c r="L3" s="66" t="s">
        <v>27</v>
      </c>
      <c r="M3" s="67">
        <v>44575</v>
      </c>
      <c r="N3" s="68">
        <f t="shared" ref="N3:N66" si="0">I3*H3</f>
        <v>749.97</v>
      </c>
    </row>
    <row r="4" spans="1:26" ht="18" customHeight="1" x14ac:dyDescent="0.35">
      <c r="A4" s="63" t="s">
        <v>28</v>
      </c>
      <c r="B4" s="64">
        <v>45399</v>
      </c>
      <c r="C4" s="63" t="s">
        <v>29</v>
      </c>
      <c r="D4" s="63" t="s">
        <v>30</v>
      </c>
      <c r="E4" s="63" t="s">
        <v>31</v>
      </c>
      <c r="F4" s="63" t="s">
        <v>32</v>
      </c>
      <c r="G4" s="63" t="s">
        <v>33</v>
      </c>
      <c r="H4" s="63">
        <v>3</v>
      </c>
      <c r="I4" s="63">
        <v>59.99</v>
      </c>
      <c r="J4" s="63" t="s">
        <v>34</v>
      </c>
      <c r="K4" s="63" t="s">
        <v>35</v>
      </c>
      <c r="L4" s="63" t="s">
        <v>36</v>
      </c>
      <c r="M4" s="64">
        <v>45262</v>
      </c>
      <c r="N4" s="69">
        <f t="shared" si="0"/>
        <v>179.97</v>
      </c>
    </row>
    <row r="5" spans="1:26" ht="18" customHeight="1" x14ac:dyDescent="0.35">
      <c r="A5" s="66" t="s">
        <v>37</v>
      </c>
      <c r="B5" s="67">
        <v>45400</v>
      </c>
      <c r="C5" s="66" t="s">
        <v>38</v>
      </c>
      <c r="D5" s="66" t="s">
        <v>39</v>
      </c>
      <c r="E5" s="66" t="s">
        <v>31</v>
      </c>
      <c r="F5" s="66" t="s">
        <v>32</v>
      </c>
      <c r="G5" s="66" t="s">
        <v>33</v>
      </c>
      <c r="H5" s="66">
        <v>3</v>
      </c>
      <c r="I5" s="66">
        <v>59.99</v>
      </c>
      <c r="J5" s="66" t="s">
        <v>20</v>
      </c>
      <c r="K5" s="66" t="s">
        <v>40</v>
      </c>
      <c r="L5" s="66" t="s">
        <v>27</v>
      </c>
      <c r="M5" s="67">
        <v>45114</v>
      </c>
      <c r="N5" s="68">
        <f t="shared" si="0"/>
        <v>179.97</v>
      </c>
    </row>
    <row r="6" spans="1:26" ht="18" customHeight="1" x14ac:dyDescent="0.35">
      <c r="A6" s="63" t="s">
        <v>41</v>
      </c>
      <c r="B6" s="64">
        <v>45400</v>
      </c>
      <c r="C6" s="63" t="s">
        <v>42</v>
      </c>
      <c r="D6" s="63" t="s">
        <v>43</v>
      </c>
      <c r="E6" s="63" t="s">
        <v>44</v>
      </c>
      <c r="F6" s="63" t="s">
        <v>45</v>
      </c>
      <c r="G6" s="63" t="s">
        <v>46</v>
      </c>
      <c r="H6" s="63">
        <v>5</v>
      </c>
      <c r="I6" s="63">
        <v>149.99</v>
      </c>
      <c r="J6" s="63" t="s">
        <v>26</v>
      </c>
      <c r="K6" s="63" t="s">
        <v>40</v>
      </c>
      <c r="L6" s="63" t="s">
        <v>27</v>
      </c>
      <c r="M6" s="64">
        <v>45295</v>
      </c>
      <c r="N6" s="69">
        <f t="shared" si="0"/>
        <v>749.95</v>
      </c>
    </row>
    <row r="7" spans="1:26" ht="18" customHeight="1" x14ac:dyDescent="0.35">
      <c r="A7" s="66" t="s">
        <v>47</v>
      </c>
      <c r="B7" s="67">
        <v>45403</v>
      </c>
      <c r="C7" s="66" t="s">
        <v>48</v>
      </c>
      <c r="D7" s="66" t="s">
        <v>49</v>
      </c>
      <c r="E7" s="66" t="s">
        <v>31</v>
      </c>
      <c r="F7" s="66" t="s">
        <v>32</v>
      </c>
      <c r="G7" s="66" t="s">
        <v>33</v>
      </c>
      <c r="H7" s="66">
        <v>2</v>
      </c>
      <c r="I7" s="66">
        <v>59.99</v>
      </c>
      <c r="J7" s="66" t="s">
        <v>20</v>
      </c>
      <c r="K7" s="66" t="s">
        <v>50</v>
      </c>
      <c r="L7" s="66" t="s">
        <v>36</v>
      </c>
      <c r="M7" s="67">
        <v>44746</v>
      </c>
      <c r="N7" s="68">
        <f t="shared" si="0"/>
        <v>119.98</v>
      </c>
    </row>
    <row r="8" spans="1:26" ht="18" customHeight="1" x14ac:dyDescent="0.35">
      <c r="A8" s="63" t="s">
        <v>51</v>
      </c>
      <c r="B8" s="64">
        <v>45403</v>
      </c>
      <c r="C8" s="63" t="s">
        <v>48</v>
      </c>
      <c r="D8" s="63" t="s">
        <v>49</v>
      </c>
      <c r="E8" s="63" t="s">
        <v>52</v>
      </c>
      <c r="F8" s="63" t="s">
        <v>53</v>
      </c>
      <c r="G8" s="63" t="s">
        <v>19</v>
      </c>
      <c r="H8" s="63">
        <v>5</v>
      </c>
      <c r="I8" s="63">
        <v>149.99</v>
      </c>
      <c r="J8" s="63" t="s">
        <v>26</v>
      </c>
      <c r="K8" s="63" t="s">
        <v>21</v>
      </c>
      <c r="L8" s="63" t="s">
        <v>36</v>
      </c>
      <c r="M8" s="64">
        <v>44418</v>
      </c>
      <c r="N8" s="69">
        <f t="shared" si="0"/>
        <v>749.95</v>
      </c>
    </row>
    <row r="9" spans="1:26" ht="18" customHeight="1" x14ac:dyDescent="0.35">
      <c r="A9" s="66" t="s">
        <v>54</v>
      </c>
      <c r="B9" s="67">
        <v>45403</v>
      </c>
      <c r="C9" s="66" t="s">
        <v>55</v>
      </c>
      <c r="D9" s="66" t="s">
        <v>56</v>
      </c>
      <c r="E9" s="66" t="s">
        <v>31</v>
      </c>
      <c r="F9" s="66" t="s">
        <v>32</v>
      </c>
      <c r="G9" s="66" t="s">
        <v>33</v>
      </c>
      <c r="H9" s="66">
        <v>3</v>
      </c>
      <c r="I9" s="66">
        <v>59.99</v>
      </c>
      <c r="J9" s="66" t="s">
        <v>57</v>
      </c>
      <c r="K9" s="66" t="s">
        <v>35</v>
      </c>
      <c r="L9" s="66" t="s">
        <v>22</v>
      </c>
      <c r="M9" s="67">
        <v>45007</v>
      </c>
      <c r="N9" s="68">
        <f t="shared" si="0"/>
        <v>179.97</v>
      </c>
    </row>
    <row r="10" spans="1:26" ht="18" customHeight="1" x14ac:dyDescent="0.35">
      <c r="A10" s="63" t="s">
        <v>58</v>
      </c>
      <c r="B10" s="64">
        <v>45405</v>
      </c>
      <c r="C10" s="63" t="s">
        <v>59</v>
      </c>
      <c r="D10" s="63" t="s">
        <v>60</v>
      </c>
      <c r="E10" s="63" t="s">
        <v>61</v>
      </c>
      <c r="F10" s="63" t="s">
        <v>62</v>
      </c>
      <c r="G10" s="63" t="s">
        <v>19</v>
      </c>
      <c r="H10" s="63">
        <v>3</v>
      </c>
      <c r="I10" s="63">
        <v>899.99</v>
      </c>
      <c r="J10" s="63" t="s">
        <v>34</v>
      </c>
      <c r="K10" s="63" t="s">
        <v>63</v>
      </c>
      <c r="L10" s="63" t="s">
        <v>36</v>
      </c>
      <c r="M10" s="64">
        <v>45299</v>
      </c>
      <c r="N10" s="69">
        <f t="shared" si="0"/>
        <v>2699.9700000000003</v>
      </c>
    </row>
    <row r="11" spans="1:26" ht="18" customHeight="1" x14ac:dyDescent="0.35">
      <c r="A11" s="66" t="s">
        <v>64</v>
      </c>
      <c r="B11" s="67">
        <v>45408</v>
      </c>
      <c r="C11" s="66" t="s">
        <v>65</v>
      </c>
      <c r="D11" s="66" t="s">
        <v>66</v>
      </c>
      <c r="E11" s="66" t="s">
        <v>31</v>
      </c>
      <c r="F11" s="66" t="s">
        <v>32</v>
      </c>
      <c r="G11" s="66" t="s">
        <v>33</v>
      </c>
      <c r="H11" s="66">
        <v>3</v>
      </c>
      <c r="I11" s="66">
        <v>59.99</v>
      </c>
      <c r="J11" s="66" t="s">
        <v>20</v>
      </c>
      <c r="K11" s="66" t="s">
        <v>50</v>
      </c>
      <c r="L11" s="66" t="s">
        <v>27</v>
      </c>
      <c r="M11" s="67">
        <v>45207</v>
      </c>
      <c r="N11" s="68">
        <f t="shared" si="0"/>
        <v>179.97</v>
      </c>
    </row>
    <row r="12" spans="1:26" ht="18" customHeight="1" x14ac:dyDescent="0.35">
      <c r="A12" s="63" t="s">
        <v>67</v>
      </c>
      <c r="B12" s="64">
        <v>45408</v>
      </c>
      <c r="C12" s="63" t="s">
        <v>68</v>
      </c>
      <c r="D12" s="63" t="s">
        <v>69</v>
      </c>
      <c r="E12" s="63" t="s">
        <v>44</v>
      </c>
      <c r="F12" s="63" t="s">
        <v>45</v>
      </c>
      <c r="G12" s="63" t="s">
        <v>46</v>
      </c>
      <c r="H12" s="63">
        <v>1</v>
      </c>
      <c r="I12" s="63">
        <v>149.99</v>
      </c>
      <c r="J12" s="63" t="s">
        <v>26</v>
      </c>
      <c r="K12" s="63" t="s">
        <v>50</v>
      </c>
      <c r="L12" s="63" t="s">
        <v>36</v>
      </c>
      <c r="M12" s="64">
        <v>45103</v>
      </c>
      <c r="N12" s="69">
        <f t="shared" si="0"/>
        <v>149.99</v>
      </c>
    </row>
    <row r="13" spans="1:26" ht="18" customHeight="1" x14ac:dyDescent="0.35">
      <c r="A13" s="66" t="s">
        <v>70</v>
      </c>
      <c r="B13" s="67">
        <v>45408</v>
      </c>
      <c r="C13" s="66" t="s">
        <v>38</v>
      </c>
      <c r="D13" s="66" t="s">
        <v>39</v>
      </c>
      <c r="E13" s="66" t="s">
        <v>44</v>
      </c>
      <c r="F13" s="66" t="s">
        <v>45</v>
      </c>
      <c r="G13" s="66" t="s">
        <v>46</v>
      </c>
      <c r="H13" s="66">
        <v>5</v>
      </c>
      <c r="I13" s="66">
        <v>149.99</v>
      </c>
      <c r="J13" s="66" t="s">
        <v>57</v>
      </c>
      <c r="K13" s="66" t="s">
        <v>40</v>
      </c>
      <c r="L13" s="66" t="s">
        <v>22</v>
      </c>
      <c r="M13" s="67">
        <v>44830</v>
      </c>
      <c r="N13" s="68">
        <f t="shared" si="0"/>
        <v>749.95</v>
      </c>
    </row>
    <row r="14" spans="1:26" ht="18" customHeight="1" x14ac:dyDescent="0.35">
      <c r="A14" s="63" t="s">
        <v>71</v>
      </c>
      <c r="B14" s="64">
        <v>45408</v>
      </c>
      <c r="C14" s="63" t="s">
        <v>72</v>
      </c>
      <c r="D14" s="63" t="s">
        <v>73</v>
      </c>
      <c r="E14" s="63" t="s">
        <v>44</v>
      </c>
      <c r="F14" s="63" t="s">
        <v>45</v>
      </c>
      <c r="G14" s="63" t="s">
        <v>46</v>
      </c>
      <c r="H14" s="63">
        <v>3</v>
      </c>
      <c r="I14" s="63">
        <v>149.99</v>
      </c>
      <c r="J14" s="63" t="s">
        <v>20</v>
      </c>
      <c r="K14" s="63" t="s">
        <v>40</v>
      </c>
      <c r="L14" s="63" t="s">
        <v>27</v>
      </c>
      <c r="M14" s="64">
        <v>44806</v>
      </c>
      <c r="N14" s="69">
        <f t="shared" si="0"/>
        <v>449.97</v>
      </c>
    </row>
    <row r="15" spans="1:26" ht="18" customHeight="1" x14ac:dyDescent="0.35">
      <c r="A15" s="66" t="s">
        <v>74</v>
      </c>
      <c r="B15" s="67">
        <v>45409</v>
      </c>
      <c r="C15" s="66" t="s">
        <v>75</v>
      </c>
      <c r="D15" s="66" t="s">
        <v>76</v>
      </c>
      <c r="E15" s="66" t="s">
        <v>31</v>
      </c>
      <c r="F15" s="66" t="s">
        <v>32</v>
      </c>
      <c r="G15" s="66" t="s">
        <v>33</v>
      </c>
      <c r="H15" s="66">
        <v>3</v>
      </c>
      <c r="I15" s="66">
        <v>59.99</v>
      </c>
      <c r="J15" s="66" t="s">
        <v>26</v>
      </c>
      <c r="K15" s="66" t="s">
        <v>40</v>
      </c>
      <c r="L15" s="66" t="s">
        <v>36</v>
      </c>
      <c r="M15" s="67">
        <v>45351</v>
      </c>
      <c r="N15" s="68">
        <f t="shared" si="0"/>
        <v>179.97</v>
      </c>
    </row>
    <row r="16" spans="1:26" ht="18" customHeight="1" x14ac:dyDescent="0.35">
      <c r="A16" s="63" t="s">
        <v>77</v>
      </c>
      <c r="B16" s="64">
        <v>45409</v>
      </c>
      <c r="C16" s="63" t="s">
        <v>78</v>
      </c>
      <c r="D16" s="63" t="s">
        <v>79</v>
      </c>
      <c r="E16" s="63" t="s">
        <v>80</v>
      </c>
      <c r="F16" s="63" t="s">
        <v>81</v>
      </c>
      <c r="G16" s="63" t="s">
        <v>19</v>
      </c>
      <c r="H16" s="63">
        <v>3</v>
      </c>
      <c r="I16" s="63">
        <v>699.99</v>
      </c>
      <c r="J16" s="63" t="s">
        <v>26</v>
      </c>
      <c r="K16" s="63" t="s">
        <v>50</v>
      </c>
      <c r="L16" s="63" t="s">
        <v>22</v>
      </c>
      <c r="M16" s="64">
        <v>44577</v>
      </c>
      <c r="N16" s="69">
        <f t="shared" si="0"/>
        <v>2099.9700000000003</v>
      </c>
    </row>
    <row r="17" spans="1:14" ht="18" customHeight="1" x14ac:dyDescent="0.35">
      <c r="A17" s="66" t="s">
        <v>82</v>
      </c>
      <c r="B17" s="67">
        <v>45409</v>
      </c>
      <c r="C17" s="66" t="s">
        <v>83</v>
      </c>
      <c r="D17" s="66" t="s">
        <v>84</v>
      </c>
      <c r="E17" s="66" t="s">
        <v>61</v>
      </c>
      <c r="F17" s="66" t="s">
        <v>62</v>
      </c>
      <c r="G17" s="66" t="s">
        <v>19</v>
      </c>
      <c r="H17" s="66">
        <v>1</v>
      </c>
      <c r="I17" s="66">
        <v>899.99</v>
      </c>
      <c r="J17" s="66" t="s">
        <v>57</v>
      </c>
      <c r="K17" s="66" t="s">
        <v>40</v>
      </c>
      <c r="L17" s="66" t="s">
        <v>36</v>
      </c>
      <c r="M17" s="67">
        <v>44920</v>
      </c>
      <c r="N17" s="68">
        <f t="shared" si="0"/>
        <v>899.99</v>
      </c>
    </row>
    <row r="18" spans="1:14" ht="18" customHeight="1" x14ac:dyDescent="0.35">
      <c r="A18" s="63" t="s">
        <v>85</v>
      </c>
      <c r="B18" s="64">
        <v>45410</v>
      </c>
      <c r="C18" s="63" t="s">
        <v>86</v>
      </c>
      <c r="D18" s="63" t="s">
        <v>87</v>
      </c>
      <c r="E18" s="63" t="s">
        <v>44</v>
      </c>
      <c r="F18" s="63" t="s">
        <v>45</v>
      </c>
      <c r="G18" s="63" t="s">
        <v>46</v>
      </c>
      <c r="H18" s="63">
        <v>4</v>
      </c>
      <c r="I18" s="63">
        <v>149.99</v>
      </c>
      <c r="J18" s="63" t="s">
        <v>57</v>
      </c>
      <c r="K18" s="63" t="s">
        <v>40</v>
      </c>
      <c r="L18" s="63" t="s">
        <v>27</v>
      </c>
      <c r="M18" s="64">
        <v>45374</v>
      </c>
      <c r="N18" s="69">
        <f t="shared" si="0"/>
        <v>599.96</v>
      </c>
    </row>
    <row r="19" spans="1:14" ht="18" customHeight="1" x14ac:dyDescent="0.35">
      <c r="A19" s="66" t="s">
        <v>88</v>
      </c>
      <c r="B19" s="67">
        <v>45410</v>
      </c>
      <c r="C19" s="66" t="s">
        <v>89</v>
      </c>
      <c r="D19" s="66" t="s">
        <v>90</v>
      </c>
      <c r="E19" s="66" t="s">
        <v>80</v>
      </c>
      <c r="F19" s="66" t="s">
        <v>81</v>
      </c>
      <c r="G19" s="66" t="s">
        <v>19</v>
      </c>
      <c r="H19" s="66">
        <v>2</v>
      </c>
      <c r="I19" s="66">
        <v>699.99</v>
      </c>
      <c r="J19" s="66" t="s">
        <v>20</v>
      </c>
      <c r="K19" s="66" t="s">
        <v>40</v>
      </c>
      <c r="L19" s="66" t="s">
        <v>22</v>
      </c>
      <c r="M19" s="67">
        <v>44781</v>
      </c>
      <c r="N19" s="68">
        <f t="shared" si="0"/>
        <v>1399.98</v>
      </c>
    </row>
    <row r="20" spans="1:14" ht="18" customHeight="1" x14ac:dyDescent="0.35">
      <c r="A20" s="63" t="s">
        <v>91</v>
      </c>
      <c r="B20" s="64">
        <v>45410</v>
      </c>
      <c r="C20" s="63" t="s">
        <v>86</v>
      </c>
      <c r="D20" s="63" t="s">
        <v>87</v>
      </c>
      <c r="E20" s="63" t="s">
        <v>61</v>
      </c>
      <c r="F20" s="63" t="s">
        <v>62</v>
      </c>
      <c r="G20" s="63" t="s">
        <v>19</v>
      </c>
      <c r="H20" s="63">
        <v>4</v>
      </c>
      <c r="I20" s="63">
        <v>899.99</v>
      </c>
      <c r="J20" s="63" t="s">
        <v>26</v>
      </c>
      <c r="K20" s="63" t="s">
        <v>50</v>
      </c>
      <c r="L20" s="63" t="s">
        <v>36</v>
      </c>
      <c r="M20" s="64">
        <v>45327</v>
      </c>
      <c r="N20" s="69">
        <f t="shared" si="0"/>
        <v>3599.96</v>
      </c>
    </row>
    <row r="21" spans="1:14" ht="15.75" customHeight="1" x14ac:dyDescent="0.35">
      <c r="A21" s="66" t="s">
        <v>92</v>
      </c>
      <c r="B21" s="67">
        <v>45410</v>
      </c>
      <c r="C21" s="66" t="s">
        <v>93</v>
      </c>
      <c r="D21" s="66" t="s">
        <v>94</v>
      </c>
      <c r="E21" s="66" t="s">
        <v>17</v>
      </c>
      <c r="F21" s="66" t="s">
        <v>18</v>
      </c>
      <c r="G21" s="66" t="s">
        <v>19</v>
      </c>
      <c r="H21" s="66">
        <v>3</v>
      </c>
      <c r="I21" s="66">
        <v>249.99</v>
      </c>
      <c r="J21" s="66" t="s">
        <v>26</v>
      </c>
      <c r="K21" s="66" t="s">
        <v>40</v>
      </c>
      <c r="L21" s="66" t="s">
        <v>27</v>
      </c>
      <c r="M21" s="67">
        <v>45224</v>
      </c>
      <c r="N21" s="68">
        <f t="shared" si="0"/>
        <v>749.97</v>
      </c>
    </row>
    <row r="22" spans="1:14" ht="15.75" customHeight="1" x14ac:dyDescent="0.35">
      <c r="A22" s="63" t="s">
        <v>95</v>
      </c>
      <c r="B22" s="64">
        <v>45412</v>
      </c>
      <c r="C22" s="63" t="s">
        <v>96</v>
      </c>
      <c r="D22" s="63" t="s">
        <v>97</v>
      </c>
      <c r="E22" s="63" t="s">
        <v>80</v>
      </c>
      <c r="F22" s="63" t="s">
        <v>81</v>
      </c>
      <c r="G22" s="63" t="s">
        <v>19</v>
      </c>
      <c r="H22" s="63">
        <v>5</v>
      </c>
      <c r="I22" s="63">
        <v>699.99</v>
      </c>
      <c r="J22" s="63" t="s">
        <v>20</v>
      </c>
      <c r="K22" s="63" t="s">
        <v>50</v>
      </c>
      <c r="L22" s="63" t="s">
        <v>22</v>
      </c>
      <c r="M22" s="64">
        <v>45167</v>
      </c>
      <c r="N22" s="69">
        <f t="shared" si="0"/>
        <v>3499.95</v>
      </c>
    </row>
    <row r="23" spans="1:14" ht="15.75" customHeight="1" x14ac:dyDescent="0.35">
      <c r="A23" s="66" t="s">
        <v>98</v>
      </c>
      <c r="B23" s="67">
        <v>45413</v>
      </c>
      <c r="C23" s="66" t="s">
        <v>99</v>
      </c>
      <c r="D23" s="66" t="s">
        <v>100</v>
      </c>
      <c r="E23" s="66" t="s">
        <v>80</v>
      </c>
      <c r="F23" s="66" t="s">
        <v>81</v>
      </c>
      <c r="G23" s="66" t="s">
        <v>19</v>
      </c>
      <c r="H23" s="66">
        <v>4</v>
      </c>
      <c r="I23" s="66">
        <v>699.99</v>
      </c>
      <c r="J23" s="66" t="s">
        <v>20</v>
      </c>
      <c r="K23" s="66" t="s">
        <v>63</v>
      </c>
      <c r="L23" s="66" t="s">
        <v>36</v>
      </c>
      <c r="M23" s="67">
        <v>44409</v>
      </c>
      <c r="N23" s="68">
        <f t="shared" si="0"/>
        <v>2799.96</v>
      </c>
    </row>
    <row r="24" spans="1:14" ht="15.75" customHeight="1" x14ac:dyDescent="0.35">
      <c r="A24" s="63" t="s">
        <v>101</v>
      </c>
      <c r="B24" s="64">
        <v>45415</v>
      </c>
      <c r="C24" s="63" t="s">
        <v>102</v>
      </c>
      <c r="D24" s="63" t="s">
        <v>103</v>
      </c>
      <c r="E24" s="63" t="s">
        <v>17</v>
      </c>
      <c r="F24" s="63" t="s">
        <v>18</v>
      </c>
      <c r="G24" s="63" t="s">
        <v>19</v>
      </c>
      <c r="H24" s="63">
        <v>4</v>
      </c>
      <c r="I24" s="63">
        <v>249.99</v>
      </c>
      <c r="J24" s="63" t="s">
        <v>34</v>
      </c>
      <c r="K24" s="63" t="s">
        <v>40</v>
      </c>
      <c r="L24" s="63" t="s">
        <v>36</v>
      </c>
      <c r="M24" s="64">
        <v>44468</v>
      </c>
      <c r="N24" s="69">
        <f t="shared" si="0"/>
        <v>999.96</v>
      </c>
    </row>
    <row r="25" spans="1:14" ht="15.75" customHeight="1" x14ac:dyDescent="0.35">
      <c r="A25" s="66" t="s">
        <v>104</v>
      </c>
      <c r="B25" s="67">
        <v>45416</v>
      </c>
      <c r="C25" s="66" t="s">
        <v>86</v>
      </c>
      <c r="D25" s="66" t="s">
        <v>87</v>
      </c>
      <c r="E25" s="66" t="s">
        <v>105</v>
      </c>
      <c r="F25" s="66" t="s">
        <v>106</v>
      </c>
      <c r="G25" s="66" t="s">
        <v>46</v>
      </c>
      <c r="H25" s="66">
        <v>4</v>
      </c>
      <c r="I25" s="66">
        <v>299.99</v>
      </c>
      <c r="J25" s="66" t="s">
        <v>20</v>
      </c>
      <c r="K25" s="66" t="s">
        <v>50</v>
      </c>
      <c r="L25" s="66" t="s">
        <v>27</v>
      </c>
      <c r="M25" s="67">
        <v>44716</v>
      </c>
      <c r="N25" s="68">
        <f t="shared" si="0"/>
        <v>1199.96</v>
      </c>
    </row>
    <row r="26" spans="1:14" ht="15.75" customHeight="1" x14ac:dyDescent="0.35">
      <c r="A26" s="63" t="s">
        <v>107</v>
      </c>
      <c r="B26" s="64">
        <v>45422</v>
      </c>
      <c r="C26" s="63" t="s">
        <v>108</v>
      </c>
      <c r="D26" s="63" t="s">
        <v>109</v>
      </c>
      <c r="E26" s="63" t="s">
        <v>17</v>
      </c>
      <c r="F26" s="63" t="s">
        <v>18</v>
      </c>
      <c r="G26" s="63" t="s">
        <v>19</v>
      </c>
      <c r="H26" s="63">
        <v>5</v>
      </c>
      <c r="I26" s="63">
        <v>249.99</v>
      </c>
      <c r="J26" s="63" t="s">
        <v>26</v>
      </c>
      <c r="K26" s="63" t="s">
        <v>50</v>
      </c>
      <c r="L26" s="63" t="s">
        <v>36</v>
      </c>
      <c r="M26" s="64">
        <v>44525</v>
      </c>
      <c r="N26" s="69">
        <f t="shared" si="0"/>
        <v>1249.95</v>
      </c>
    </row>
    <row r="27" spans="1:14" ht="15.75" customHeight="1" x14ac:dyDescent="0.35">
      <c r="A27" s="66" t="s">
        <v>110</v>
      </c>
      <c r="B27" s="67">
        <v>45424</v>
      </c>
      <c r="C27" s="66" t="s">
        <v>68</v>
      </c>
      <c r="D27" s="66" t="s">
        <v>69</v>
      </c>
      <c r="E27" s="66" t="s">
        <v>105</v>
      </c>
      <c r="F27" s="66" t="s">
        <v>106</v>
      </c>
      <c r="G27" s="66" t="s">
        <v>46</v>
      </c>
      <c r="H27" s="66">
        <v>5</v>
      </c>
      <c r="I27" s="66">
        <v>299.99</v>
      </c>
      <c r="J27" s="66" t="s">
        <v>34</v>
      </c>
      <c r="K27" s="66" t="s">
        <v>63</v>
      </c>
      <c r="L27" s="66" t="s">
        <v>22</v>
      </c>
      <c r="M27" s="67">
        <v>45168</v>
      </c>
      <c r="N27" s="68">
        <f t="shared" si="0"/>
        <v>1499.95</v>
      </c>
    </row>
    <row r="28" spans="1:14" ht="15.75" customHeight="1" x14ac:dyDescent="0.35">
      <c r="A28" s="63" t="s">
        <v>111</v>
      </c>
      <c r="B28" s="64">
        <v>45424</v>
      </c>
      <c r="C28" s="63" t="s">
        <v>112</v>
      </c>
      <c r="D28" s="63" t="s">
        <v>113</v>
      </c>
      <c r="E28" s="63" t="s">
        <v>114</v>
      </c>
      <c r="F28" s="63" t="s">
        <v>115</v>
      </c>
      <c r="G28" s="63" t="s">
        <v>33</v>
      </c>
      <c r="H28" s="63">
        <v>3</v>
      </c>
      <c r="I28" s="63">
        <v>79.989999999999995</v>
      </c>
      <c r="J28" s="63" t="s">
        <v>34</v>
      </c>
      <c r="K28" s="63" t="s">
        <v>63</v>
      </c>
      <c r="L28" s="63" t="s">
        <v>27</v>
      </c>
      <c r="M28" s="64">
        <v>45012</v>
      </c>
      <c r="N28" s="69">
        <f t="shared" si="0"/>
        <v>239.96999999999997</v>
      </c>
    </row>
    <row r="29" spans="1:14" ht="15.75" customHeight="1" x14ac:dyDescent="0.35">
      <c r="A29" s="66" t="s">
        <v>116</v>
      </c>
      <c r="B29" s="67">
        <v>45424</v>
      </c>
      <c r="C29" s="66" t="s">
        <v>99</v>
      </c>
      <c r="D29" s="66" t="s">
        <v>100</v>
      </c>
      <c r="E29" s="66" t="s">
        <v>117</v>
      </c>
      <c r="F29" s="66" t="s">
        <v>118</v>
      </c>
      <c r="G29" s="66" t="s">
        <v>19</v>
      </c>
      <c r="H29" s="66">
        <v>5</v>
      </c>
      <c r="I29" s="66">
        <v>89.99</v>
      </c>
      <c r="J29" s="66" t="s">
        <v>20</v>
      </c>
      <c r="K29" s="66" t="s">
        <v>40</v>
      </c>
      <c r="L29" s="66" t="s">
        <v>27</v>
      </c>
      <c r="M29" s="67">
        <v>44919</v>
      </c>
      <c r="N29" s="68">
        <f t="shared" si="0"/>
        <v>449.95</v>
      </c>
    </row>
    <row r="30" spans="1:14" ht="15.75" customHeight="1" x14ac:dyDescent="0.35">
      <c r="A30" s="63" t="s">
        <v>119</v>
      </c>
      <c r="B30" s="64">
        <v>45425</v>
      </c>
      <c r="C30" s="63" t="s">
        <v>120</v>
      </c>
      <c r="D30" s="63" t="s">
        <v>121</v>
      </c>
      <c r="E30" s="63" t="s">
        <v>31</v>
      </c>
      <c r="F30" s="63" t="s">
        <v>32</v>
      </c>
      <c r="G30" s="63" t="s">
        <v>33</v>
      </c>
      <c r="H30" s="63">
        <v>2</v>
      </c>
      <c r="I30" s="63">
        <v>59.99</v>
      </c>
      <c r="J30" s="63" t="s">
        <v>57</v>
      </c>
      <c r="K30" s="63" t="s">
        <v>21</v>
      </c>
      <c r="L30" s="63" t="s">
        <v>36</v>
      </c>
      <c r="M30" s="64">
        <v>45214</v>
      </c>
      <c r="N30" s="69">
        <f t="shared" si="0"/>
        <v>119.98</v>
      </c>
    </row>
    <row r="31" spans="1:14" ht="15.75" customHeight="1" x14ac:dyDescent="0.35">
      <c r="A31" s="66" t="s">
        <v>122</v>
      </c>
      <c r="B31" s="67">
        <v>45427</v>
      </c>
      <c r="C31" s="66" t="s">
        <v>123</v>
      </c>
      <c r="D31" s="66" t="s">
        <v>124</v>
      </c>
      <c r="E31" s="66" t="s">
        <v>31</v>
      </c>
      <c r="F31" s="66" t="s">
        <v>32</v>
      </c>
      <c r="G31" s="66" t="s">
        <v>33</v>
      </c>
      <c r="H31" s="66">
        <v>4</v>
      </c>
      <c r="I31" s="66">
        <v>59.99</v>
      </c>
      <c r="J31" s="66" t="s">
        <v>57</v>
      </c>
      <c r="K31" s="66" t="s">
        <v>63</v>
      </c>
      <c r="L31" s="66" t="s">
        <v>36</v>
      </c>
      <c r="M31" s="67">
        <v>44867</v>
      </c>
      <c r="N31" s="68">
        <f t="shared" si="0"/>
        <v>239.96</v>
      </c>
    </row>
    <row r="32" spans="1:14" ht="15.75" customHeight="1" x14ac:dyDescent="0.35">
      <c r="A32" s="63" t="s">
        <v>125</v>
      </c>
      <c r="B32" s="64">
        <v>45427</v>
      </c>
      <c r="C32" s="63" t="s">
        <v>55</v>
      </c>
      <c r="D32" s="63" t="s">
        <v>56</v>
      </c>
      <c r="E32" s="63" t="s">
        <v>126</v>
      </c>
      <c r="F32" s="63" t="s">
        <v>127</v>
      </c>
      <c r="G32" s="63" t="s">
        <v>46</v>
      </c>
      <c r="H32" s="63">
        <v>5</v>
      </c>
      <c r="I32" s="63">
        <v>199.99</v>
      </c>
      <c r="J32" s="63" t="s">
        <v>20</v>
      </c>
      <c r="K32" s="63" t="s">
        <v>35</v>
      </c>
      <c r="L32" s="63" t="s">
        <v>36</v>
      </c>
      <c r="M32" s="64">
        <v>44412</v>
      </c>
      <c r="N32" s="69">
        <f t="shared" si="0"/>
        <v>999.95</v>
      </c>
    </row>
    <row r="33" spans="1:14" ht="15.75" customHeight="1" x14ac:dyDescent="0.35">
      <c r="A33" s="66" t="s">
        <v>128</v>
      </c>
      <c r="B33" s="67">
        <v>45428</v>
      </c>
      <c r="C33" s="66" t="s">
        <v>129</v>
      </c>
      <c r="D33" s="66" t="s">
        <v>130</v>
      </c>
      <c r="E33" s="66" t="s">
        <v>44</v>
      </c>
      <c r="F33" s="66" t="s">
        <v>45</v>
      </c>
      <c r="G33" s="66" t="s">
        <v>46</v>
      </c>
      <c r="H33" s="66">
        <v>2</v>
      </c>
      <c r="I33" s="66">
        <v>149.99</v>
      </c>
      <c r="J33" s="66" t="s">
        <v>26</v>
      </c>
      <c r="K33" s="66" t="s">
        <v>50</v>
      </c>
      <c r="L33" s="66" t="s">
        <v>22</v>
      </c>
      <c r="M33" s="67">
        <v>44823</v>
      </c>
      <c r="N33" s="68">
        <f t="shared" si="0"/>
        <v>299.98</v>
      </c>
    </row>
    <row r="34" spans="1:14" ht="15.75" customHeight="1" x14ac:dyDescent="0.35">
      <c r="A34" s="63" t="s">
        <v>131</v>
      </c>
      <c r="B34" s="64">
        <v>45430</v>
      </c>
      <c r="C34" s="63" t="s">
        <v>132</v>
      </c>
      <c r="D34" s="63" t="s">
        <v>133</v>
      </c>
      <c r="E34" s="63" t="s">
        <v>44</v>
      </c>
      <c r="F34" s="63" t="s">
        <v>45</v>
      </c>
      <c r="G34" s="63" t="s">
        <v>46</v>
      </c>
      <c r="H34" s="63">
        <v>3</v>
      </c>
      <c r="I34" s="63">
        <v>149.99</v>
      </c>
      <c r="J34" s="63" t="s">
        <v>26</v>
      </c>
      <c r="K34" s="63" t="s">
        <v>50</v>
      </c>
      <c r="L34" s="63" t="s">
        <v>27</v>
      </c>
      <c r="M34" s="64">
        <v>45068</v>
      </c>
      <c r="N34" s="69">
        <f t="shared" si="0"/>
        <v>449.97</v>
      </c>
    </row>
    <row r="35" spans="1:14" ht="15.75" customHeight="1" x14ac:dyDescent="0.35">
      <c r="A35" s="66" t="s">
        <v>134</v>
      </c>
      <c r="B35" s="67">
        <v>45432</v>
      </c>
      <c r="C35" s="66" t="s">
        <v>29</v>
      </c>
      <c r="D35" s="66" t="s">
        <v>30</v>
      </c>
      <c r="E35" s="66" t="s">
        <v>61</v>
      </c>
      <c r="F35" s="66" t="s">
        <v>62</v>
      </c>
      <c r="G35" s="66" t="s">
        <v>19</v>
      </c>
      <c r="H35" s="66">
        <v>1</v>
      </c>
      <c r="I35" s="66">
        <v>899.99</v>
      </c>
      <c r="J35" s="66" t="s">
        <v>26</v>
      </c>
      <c r="K35" s="66" t="s">
        <v>50</v>
      </c>
      <c r="L35" s="66" t="s">
        <v>27</v>
      </c>
      <c r="M35" s="67">
        <v>44578</v>
      </c>
      <c r="N35" s="68">
        <f t="shared" si="0"/>
        <v>899.99</v>
      </c>
    </row>
    <row r="36" spans="1:14" ht="15.75" customHeight="1" x14ac:dyDescent="0.35">
      <c r="A36" s="63" t="s">
        <v>135</v>
      </c>
      <c r="B36" s="64">
        <v>45434</v>
      </c>
      <c r="C36" s="63" t="s">
        <v>99</v>
      </c>
      <c r="D36" s="63" t="s">
        <v>100</v>
      </c>
      <c r="E36" s="63" t="s">
        <v>105</v>
      </c>
      <c r="F36" s="63" t="s">
        <v>106</v>
      </c>
      <c r="G36" s="63" t="s">
        <v>46</v>
      </c>
      <c r="H36" s="63">
        <v>3</v>
      </c>
      <c r="I36" s="63">
        <v>299.99</v>
      </c>
      <c r="J36" s="63" t="s">
        <v>26</v>
      </c>
      <c r="K36" s="63" t="s">
        <v>63</v>
      </c>
      <c r="L36" s="63" t="s">
        <v>22</v>
      </c>
      <c r="M36" s="64">
        <v>44824</v>
      </c>
      <c r="N36" s="69">
        <f t="shared" si="0"/>
        <v>899.97</v>
      </c>
    </row>
    <row r="37" spans="1:14" ht="15.75" customHeight="1" x14ac:dyDescent="0.35">
      <c r="A37" s="66" t="s">
        <v>136</v>
      </c>
      <c r="B37" s="67">
        <v>45435</v>
      </c>
      <c r="C37" s="66" t="s">
        <v>129</v>
      </c>
      <c r="D37" s="66" t="s">
        <v>130</v>
      </c>
      <c r="E37" s="66" t="s">
        <v>114</v>
      </c>
      <c r="F37" s="66" t="s">
        <v>115</v>
      </c>
      <c r="G37" s="66" t="s">
        <v>33</v>
      </c>
      <c r="H37" s="66">
        <v>3</v>
      </c>
      <c r="I37" s="66">
        <v>79.989999999999995</v>
      </c>
      <c r="J37" s="66" t="s">
        <v>20</v>
      </c>
      <c r="K37" s="66" t="s">
        <v>35</v>
      </c>
      <c r="L37" s="66" t="s">
        <v>22</v>
      </c>
      <c r="M37" s="67">
        <v>45046</v>
      </c>
      <c r="N37" s="68">
        <f t="shared" si="0"/>
        <v>239.96999999999997</v>
      </c>
    </row>
    <row r="38" spans="1:14" ht="15.75" customHeight="1" x14ac:dyDescent="0.35">
      <c r="A38" s="63" t="s">
        <v>137</v>
      </c>
      <c r="B38" s="64">
        <v>45438</v>
      </c>
      <c r="C38" s="63" t="s">
        <v>138</v>
      </c>
      <c r="D38" s="63" t="s">
        <v>139</v>
      </c>
      <c r="E38" s="63" t="s">
        <v>126</v>
      </c>
      <c r="F38" s="63" t="s">
        <v>127</v>
      </c>
      <c r="G38" s="63" t="s">
        <v>46</v>
      </c>
      <c r="H38" s="63">
        <v>3</v>
      </c>
      <c r="I38" s="63">
        <v>199.99</v>
      </c>
      <c r="J38" s="63" t="s">
        <v>26</v>
      </c>
      <c r="K38" s="63" t="s">
        <v>40</v>
      </c>
      <c r="L38" s="63" t="s">
        <v>27</v>
      </c>
      <c r="M38" s="64">
        <v>45292</v>
      </c>
      <c r="N38" s="69">
        <f t="shared" si="0"/>
        <v>599.97</v>
      </c>
    </row>
    <row r="39" spans="1:14" ht="15.75" customHeight="1" x14ac:dyDescent="0.35">
      <c r="A39" s="66" t="s">
        <v>140</v>
      </c>
      <c r="B39" s="67">
        <v>45440</v>
      </c>
      <c r="C39" s="66" t="s">
        <v>141</v>
      </c>
      <c r="D39" s="66" t="s">
        <v>142</v>
      </c>
      <c r="E39" s="66" t="s">
        <v>80</v>
      </c>
      <c r="F39" s="66" t="s">
        <v>81</v>
      </c>
      <c r="G39" s="66" t="s">
        <v>19</v>
      </c>
      <c r="H39" s="66">
        <v>5</v>
      </c>
      <c r="I39" s="66">
        <v>699.99</v>
      </c>
      <c r="J39" s="66" t="s">
        <v>34</v>
      </c>
      <c r="K39" s="66" t="s">
        <v>50</v>
      </c>
      <c r="L39" s="66" t="s">
        <v>36</v>
      </c>
      <c r="M39" s="67">
        <v>44407</v>
      </c>
      <c r="N39" s="68">
        <f t="shared" si="0"/>
        <v>3499.95</v>
      </c>
    </row>
    <row r="40" spans="1:14" ht="15.75" customHeight="1" x14ac:dyDescent="0.35">
      <c r="A40" s="63" t="s">
        <v>143</v>
      </c>
      <c r="B40" s="64">
        <v>45441</v>
      </c>
      <c r="C40" s="63" t="s">
        <v>144</v>
      </c>
      <c r="D40" s="63" t="s">
        <v>145</v>
      </c>
      <c r="E40" s="63" t="s">
        <v>117</v>
      </c>
      <c r="F40" s="63" t="s">
        <v>118</v>
      </c>
      <c r="G40" s="63" t="s">
        <v>19</v>
      </c>
      <c r="H40" s="63">
        <v>3</v>
      </c>
      <c r="I40" s="63">
        <v>89.99</v>
      </c>
      <c r="J40" s="63" t="s">
        <v>34</v>
      </c>
      <c r="K40" s="63" t="s">
        <v>21</v>
      </c>
      <c r="L40" s="63" t="s">
        <v>27</v>
      </c>
      <c r="M40" s="64">
        <v>45120</v>
      </c>
      <c r="N40" s="69">
        <f t="shared" si="0"/>
        <v>269.96999999999997</v>
      </c>
    </row>
    <row r="41" spans="1:14" ht="15.75" customHeight="1" x14ac:dyDescent="0.35">
      <c r="A41" s="66" t="s">
        <v>146</v>
      </c>
      <c r="B41" s="67">
        <v>45443</v>
      </c>
      <c r="C41" s="66" t="s">
        <v>147</v>
      </c>
      <c r="D41" s="66" t="s">
        <v>148</v>
      </c>
      <c r="E41" s="66" t="s">
        <v>114</v>
      </c>
      <c r="F41" s="66" t="s">
        <v>115</v>
      </c>
      <c r="G41" s="66" t="s">
        <v>33</v>
      </c>
      <c r="H41" s="66">
        <v>1</v>
      </c>
      <c r="I41" s="66">
        <v>79.989999999999995</v>
      </c>
      <c r="J41" s="66" t="s">
        <v>20</v>
      </c>
      <c r="K41" s="66" t="s">
        <v>40</v>
      </c>
      <c r="L41" s="66" t="s">
        <v>36</v>
      </c>
      <c r="M41" s="67">
        <v>44917</v>
      </c>
      <c r="N41" s="68">
        <f t="shared" si="0"/>
        <v>79.989999999999995</v>
      </c>
    </row>
    <row r="42" spans="1:14" ht="15.75" customHeight="1" x14ac:dyDescent="0.35">
      <c r="A42" s="63" t="s">
        <v>149</v>
      </c>
      <c r="B42" s="64">
        <v>45444</v>
      </c>
      <c r="C42" s="63" t="s">
        <v>150</v>
      </c>
      <c r="D42" s="63" t="s">
        <v>151</v>
      </c>
      <c r="E42" s="63" t="s">
        <v>31</v>
      </c>
      <c r="F42" s="63" t="s">
        <v>32</v>
      </c>
      <c r="G42" s="63" t="s">
        <v>33</v>
      </c>
      <c r="H42" s="63">
        <v>2</v>
      </c>
      <c r="I42" s="63">
        <v>59.99</v>
      </c>
      <c r="J42" s="63" t="s">
        <v>20</v>
      </c>
      <c r="K42" s="63" t="s">
        <v>50</v>
      </c>
      <c r="L42" s="63" t="s">
        <v>22</v>
      </c>
      <c r="M42" s="64">
        <v>45390</v>
      </c>
      <c r="N42" s="69">
        <f t="shared" si="0"/>
        <v>119.98</v>
      </c>
    </row>
    <row r="43" spans="1:14" ht="15.75" customHeight="1" x14ac:dyDescent="0.35">
      <c r="A43" s="66" t="s">
        <v>152</v>
      </c>
      <c r="B43" s="67">
        <v>45444</v>
      </c>
      <c r="C43" s="66" t="s">
        <v>55</v>
      </c>
      <c r="D43" s="66" t="s">
        <v>56</v>
      </c>
      <c r="E43" s="66" t="s">
        <v>117</v>
      </c>
      <c r="F43" s="66" t="s">
        <v>118</v>
      </c>
      <c r="G43" s="66" t="s">
        <v>19</v>
      </c>
      <c r="H43" s="66">
        <v>1</v>
      </c>
      <c r="I43" s="66">
        <v>89.99</v>
      </c>
      <c r="J43" s="66" t="s">
        <v>20</v>
      </c>
      <c r="K43" s="66" t="s">
        <v>40</v>
      </c>
      <c r="L43" s="66" t="s">
        <v>22</v>
      </c>
      <c r="M43" s="67">
        <v>45141</v>
      </c>
      <c r="N43" s="68">
        <f t="shared" si="0"/>
        <v>89.99</v>
      </c>
    </row>
    <row r="44" spans="1:14" ht="15.75" customHeight="1" x14ac:dyDescent="0.35">
      <c r="A44" s="63" t="s">
        <v>153</v>
      </c>
      <c r="B44" s="64">
        <v>45446</v>
      </c>
      <c r="C44" s="63" t="s">
        <v>154</v>
      </c>
      <c r="D44" s="63" t="s">
        <v>155</v>
      </c>
      <c r="E44" s="63" t="s">
        <v>117</v>
      </c>
      <c r="F44" s="63" t="s">
        <v>118</v>
      </c>
      <c r="G44" s="63" t="s">
        <v>19</v>
      </c>
      <c r="H44" s="63">
        <v>5</v>
      </c>
      <c r="I44" s="63">
        <v>89.99</v>
      </c>
      <c r="J44" s="63" t="s">
        <v>26</v>
      </c>
      <c r="K44" s="63" t="s">
        <v>63</v>
      </c>
      <c r="L44" s="63" t="s">
        <v>36</v>
      </c>
      <c r="M44" s="64">
        <v>44587</v>
      </c>
      <c r="N44" s="69">
        <f t="shared" si="0"/>
        <v>449.95</v>
      </c>
    </row>
    <row r="45" spans="1:14" ht="15.75" customHeight="1" x14ac:dyDescent="0.35">
      <c r="A45" s="66" t="s">
        <v>156</v>
      </c>
      <c r="B45" s="67">
        <v>45449</v>
      </c>
      <c r="C45" s="66" t="s">
        <v>24</v>
      </c>
      <c r="D45" s="66" t="s">
        <v>25</v>
      </c>
      <c r="E45" s="66" t="s">
        <v>17</v>
      </c>
      <c r="F45" s="66" t="s">
        <v>18</v>
      </c>
      <c r="G45" s="66" t="s">
        <v>19</v>
      </c>
      <c r="H45" s="66">
        <v>5</v>
      </c>
      <c r="I45" s="66">
        <v>249.99</v>
      </c>
      <c r="J45" s="66" t="s">
        <v>26</v>
      </c>
      <c r="K45" s="66" t="s">
        <v>63</v>
      </c>
      <c r="L45" s="66" t="s">
        <v>36</v>
      </c>
      <c r="M45" s="67">
        <v>44707</v>
      </c>
      <c r="N45" s="68">
        <f t="shared" si="0"/>
        <v>1249.95</v>
      </c>
    </row>
    <row r="46" spans="1:14" ht="15.75" customHeight="1" x14ac:dyDescent="0.35">
      <c r="A46" s="63" t="s">
        <v>157</v>
      </c>
      <c r="B46" s="64">
        <v>45449</v>
      </c>
      <c r="C46" s="63" t="s">
        <v>158</v>
      </c>
      <c r="D46" s="63" t="s">
        <v>159</v>
      </c>
      <c r="E46" s="63" t="s">
        <v>117</v>
      </c>
      <c r="F46" s="63" t="s">
        <v>118</v>
      </c>
      <c r="G46" s="63" t="s">
        <v>19</v>
      </c>
      <c r="H46" s="63">
        <v>1</v>
      </c>
      <c r="I46" s="63">
        <v>89.99</v>
      </c>
      <c r="J46" s="63" t="s">
        <v>26</v>
      </c>
      <c r="K46" s="63" t="s">
        <v>35</v>
      </c>
      <c r="L46" s="63" t="s">
        <v>36</v>
      </c>
      <c r="M46" s="64">
        <v>44582</v>
      </c>
      <c r="N46" s="69">
        <f t="shared" si="0"/>
        <v>89.99</v>
      </c>
    </row>
    <row r="47" spans="1:14" ht="15.75" customHeight="1" x14ac:dyDescent="0.35">
      <c r="A47" s="66" t="s">
        <v>160</v>
      </c>
      <c r="B47" s="67">
        <v>45450</v>
      </c>
      <c r="C47" s="66" t="s">
        <v>42</v>
      </c>
      <c r="D47" s="66" t="s">
        <v>43</v>
      </c>
      <c r="E47" s="66" t="s">
        <v>44</v>
      </c>
      <c r="F47" s="66" t="s">
        <v>45</v>
      </c>
      <c r="G47" s="66" t="s">
        <v>46</v>
      </c>
      <c r="H47" s="66">
        <v>2</v>
      </c>
      <c r="I47" s="66">
        <v>149.99</v>
      </c>
      <c r="J47" s="66" t="s">
        <v>20</v>
      </c>
      <c r="K47" s="66" t="s">
        <v>63</v>
      </c>
      <c r="L47" s="66" t="s">
        <v>27</v>
      </c>
      <c r="M47" s="67">
        <v>44645</v>
      </c>
      <c r="N47" s="68">
        <f t="shared" si="0"/>
        <v>299.98</v>
      </c>
    </row>
    <row r="48" spans="1:14" ht="15.75" customHeight="1" x14ac:dyDescent="0.35">
      <c r="A48" s="63" t="s">
        <v>161</v>
      </c>
      <c r="B48" s="64">
        <v>45452</v>
      </c>
      <c r="C48" s="63" t="s">
        <v>162</v>
      </c>
      <c r="D48" s="63" t="s">
        <v>163</v>
      </c>
      <c r="E48" s="63" t="s">
        <v>31</v>
      </c>
      <c r="F48" s="63" t="s">
        <v>32</v>
      </c>
      <c r="G48" s="63" t="s">
        <v>33</v>
      </c>
      <c r="H48" s="63">
        <v>4</v>
      </c>
      <c r="I48" s="63">
        <v>59.99</v>
      </c>
      <c r="J48" s="63" t="s">
        <v>20</v>
      </c>
      <c r="K48" s="63" t="s">
        <v>63</v>
      </c>
      <c r="L48" s="63" t="s">
        <v>36</v>
      </c>
      <c r="M48" s="64">
        <v>44435</v>
      </c>
      <c r="N48" s="69">
        <f t="shared" si="0"/>
        <v>239.96</v>
      </c>
    </row>
    <row r="49" spans="1:14" ht="15.75" customHeight="1" x14ac:dyDescent="0.35">
      <c r="A49" s="66" t="s">
        <v>164</v>
      </c>
      <c r="B49" s="67">
        <v>45456</v>
      </c>
      <c r="C49" s="66" t="s">
        <v>129</v>
      </c>
      <c r="D49" s="66" t="s">
        <v>130</v>
      </c>
      <c r="E49" s="66" t="s">
        <v>117</v>
      </c>
      <c r="F49" s="66" t="s">
        <v>118</v>
      </c>
      <c r="G49" s="66" t="s">
        <v>19</v>
      </c>
      <c r="H49" s="66">
        <v>5</v>
      </c>
      <c r="I49" s="66">
        <v>89.99</v>
      </c>
      <c r="J49" s="66" t="s">
        <v>20</v>
      </c>
      <c r="K49" s="66" t="s">
        <v>21</v>
      </c>
      <c r="L49" s="66" t="s">
        <v>27</v>
      </c>
      <c r="M49" s="67">
        <v>44579</v>
      </c>
      <c r="N49" s="68">
        <f t="shared" si="0"/>
        <v>449.95</v>
      </c>
    </row>
    <row r="50" spans="1:14" ht="15.75" customHeight="1" x14ac:dyDescent="0.35">
      <c r="A50" s="63" t="s">
        <v>165</v>
      </c>
      <c r="B50" s="64">
        <v>45459</v>
      </c>
      <c r="C50" s="63" t="s">
        <v>99</v>
      </c>
      <c r="D50" s="63" t="s">
        <v>100</v>
      </c>
      <c r="E50" s="63" t="s">
        <v>117</v>
      </c>
      <c r="F50" s="63" t="s">
        <v>118</v>
      </c>
      <c r="G50" s="63" t="s">
        <v>19</v>
      </c>
      <c r="H50" s="63">
        <v>2</v>
      </c>
      <c r="I50" s="63">
        <v>89.99</v>
      </c>
      <c r="J50" s="63" t="s">
        <v>26</v>
      </c>
      <c r="K50" s="63" t="s">
        <v>35</v>
      </c>
      <c r="L50" s="63" t="s">
        <v>27</v>
      </c>
      <c r="M50" s="64">
        <v>44471</v>
      </c>
      <c r="N50" s="69">
        <f t="shared" si="0"/>
        <v>179.98</v>
      </c>
    </row>
    <row r="51" spans="1:14" ht="15.75" customHeight="1" x14ac:dyDescent="0.35">
      <c r="A51" s="66" t="s">
        <v>166</v>
      </c>
      <c r="B51" s="67">
        <v>45459</v>
      </c>
      <c r="C51" s="66" t="s">
        <v>15</v>
      </c>
      <c r="D51" s="66" t="s">
        <v>16</v>
      </c>
      <c r="E51" s="66" t="s">
        <v>61</v>
      </c>
      <c r="F51" s="66" t="s">
        <v>62</v>
      </c>
      <c r="G51" s="66" t="s">
        <v>19</v>
      </c>
      <c r="H51" s="66">
        <v>5</v>
      </c>
      <c r="I51" s="66">
        <v>899.99</v>
      </c>
      <c r="J51" s="66" t="s">
        <v>26</v>
      </c>
      <c r="K51" s="66" t="s">
        <v>35</v>
      </c>
      <c r="L51" s="66" t="s">
        <v>36</v>
      </c>
      <c r="M51" s="67">
        <v>44974</v>
      </c>
      <c r="N51" s="68">
        <f t="shared" si="0"/>
        <v>4499.95</v>
      </c>
    </row>
    <row r="52" spans="1:14" ht="15.75" customHeight="1" x14ac:dyDescent="0.35">
      <c r="A52" s="63" t="s">
        <v>167</v>
      </c>
      <c r="B52" s="64">
        <v>45459</v>
      </c>
      <c r="C52" s="63" t="s">
        <v>123</v>
      </c>
      <c r="D52" s="63" t="s">
        <v>124</v>
      </c>
      <c r="E52" s="63" t="s">
        <v>61</v>
      </c>
      <c r="F52" s="63" t="s">
        <v>62</v>
      </c>
      <c r="G52" s="63" t="s">
        <v>19</v>
      </c>
      <c r="H52" s="63">
        <v>5</v>
      </c>
      <c r="I52" s="63">
        <v>899.99</v>
      </c>
      <c r="J52" s="63" t="s">
        <v>34</v>
      </c>
      <c r="K52" s="63" t="s">
        <v>63</v>
      </c>
      <c r="L52" s="63" t="s">
        <v>27</v>
      </c>
      <c r="M52" s="64">
        <v>45278</v>
      </c>
      <c r="N52" s="69">
        <f t="shared" si="0"/>
        <v>4499.95</v>
      </c>
    </row>
    <row r="53" spans="1:14" ht="15.75" customHeight="1" x14ac:dyDescent="0.35">
      <c r="A53" s="66" t="s">
        <v>168</v>
      </c>
      <c r="B53" s="67">
        <v>45460</v>
      </c>
      <c r="C53" s="66" t="s">
        <v>158</v>
      </c>
      <c r="D53" s="66" t="s">
        <v>159</v>
      </c>
      <c r="E53" s="66" t="s">
        <v>31</v>
      </c>
      <c r="F53" s="66" t="s">
        <v>32</v>
      </c>
      <c r="G53" s="66" t="s">
        <v>33</v>
      </c>
      <c r="H53" s="66">
        <v>1</v>
      </c>
      <c r="I53" s="66">
        <v>59.99</v>
      </c>
      <c r="J53" s="66" t="s">
        <v>57</v>
      </c>
      <c r="K53" s="66" t="s">
        <v>50</v>
      </c>
      <c r="L53" s="66" t="s">
        <v>27</v>
      </c>
      <c r="M53" s="67">
        <v>45190</v>
      </c>
      <c r="N53" s="68">
        <f t="shared" si="0"/>
        <v>59.99</v>
      </c>
    </row>
    <row r="54" spans="1:14" ht="15.75" customHeight="1" x14ac:dyDescent="0.35">
      <c r="A54" s="63" t="s">
        <v>169</v>
      </c>
      <c r="B54" s="64">
        <v>45460</v>
      </c>
      <c r="C54" s="63" t="s">
        <v>141</v>
      </c>
      <c r="D54" s="63" t="s">
        <v>142</v>
      </c>
      <c r="E54" s="63" t="s">
        <v>105</v>
      </c>
      <c r="F54" s="63" t="s">
        <v>106</v>
      </c>
      <c r="G54" s="63" t="s">
        <v>46</v>
      </c>
      <c r="H54" s="63">
        <v>2</v>
      </c>
      <c r="I54" s="63">
        <v>299.99</v>
      </c>
      <c r="J54" s="63" t="s">
        <v>57</v>
      </c>
      <c r="K54" s="63" t="s">
        <v>63</v>
      </c>
      <c r="L54" s="63" t="s">
        <v>36</v>
      </c>
      <c r="M54" s="64">
        <v>45253</v>
      </c>
      <c r="N54" s="69">
        <f t="shared" si="0"/>
        <v>599.98</v>
      </c>
    </row>
    <row r="55" spans="1:14" ht="15.75" customHeight="1" x14ac:dyDescent="0.35">
      <c r="A55" s="66" t="s">
        <v>170</v>
      </c>
      <c r="B55" s="67">
        <v>45468</v>
      </c>
      <c r="C55" s="66" t="s">
        <v>171</v>
      </c>
      <c r="D55" s="66" t="s">
        <v>172</v>
      </c>
      <c r="E55" s="66" t="s">
        <v>117</v>
      </c>
      <c r="F55" s="66" t="s">
        <v>118</v>
      </c>
      <c r="G55" s="66" t="s">
        <v>19</v>
      </c>
      <c r="H55" s="66">
        <v>4</v>
      </c>
      <c r="I55" s="66">
        <v>89.99</v>
      </c>
      <c r="J55" s="66" t="s">
        <v>57</v>
      </c>
      <c r="K55" s="66" t="s">
        <v>35</v>
      </c>
      <c r="L55" s="66" t="s">
        <v>22</v>
      </c>
      <c r="M55" s="67">
        <v>45281</v>
      </c>
      <c r="N55" s="68">
        <f t="shared" si="0"/>
        <v>359.96</v>
      </c>
    </row>
    <row r="56" spans="1:14" ht="15.75" customHeight="1" x14ac:dyDescent="0.35">
      <c r="A56" s="63" t="s">
        <v>173</v>
      </c>
      <c r="B56" s="64">
        <v>45469</v>
      </c>
      <c r="C56" s="63" t="s">
        <v>29</v>
      </c>
      <c r="D56" s="63" t="s">
        <v>30</v>
      </c>
      <c r="E56" s="63" t="s">
        <v>114</v>
      </c>
      <c r="F56" s="63" t="s">
        <v>115</v>
      </c>
      <c r="G56" s="63" t="s">
        <v>33</v>
      </c>
      <c r="H56" s="63">
        <v>1</v>
      </c>
      <c r="I56" s="63">
        <v>79.989999999999995</v>
      </c>
      <c r="J56" s="63" t="s">
        <v>34</v>
      </c>
      <c r="K56" s="63" t="s">
        <v>21</v>
      </c>
      <c r="L56" s="63" t="s">
        <v>27</v>
      </c>
      <c r="M56" s="64">
        <v>45352</v>
      </c>
      <c r="N56" s="69">
        <f t="shared" si="0"/>
        <v>79.989999999999995</v>
      </c>
    </row>
    <row r="57" spans="1:14" ht="15.75" customHeight="1" x14ac:dyDescent="0.35">
      <c r="A57" s="66" t="s">
        <v>174</v>
      </c>
      <c r="B57" s="67">
        <v>45469</v>
      </c>
      <c r="C57" s="66" t="s">
        <v>59</v>
      </c>
      <c r="D57" s="66" t="s">
        <v>60</v>
      </c>
      <c r="E57" s="66" t="s">
        <v>117</v>
      </c>
      <c r="F57" s="66" t="s">
        <v>118</v>
      </c>
      <c r="G57" s="66" t="s">
        <v>19</v>
      </c>
      <c r="H57" s="66">
        <v>2</v>
      </c>
      <c r="I57" s="66">
        <v>89.99</v>
      </c>
      <c r="J57" s="66" t="s">
        <v>20</v>
      </c>
      <c r="K57" s="66" t="s">
        <v>50</v>
      </c>
      <c r="L57" s="66" t="s">
        <v>22</v>
      </c>
      <c r="M57" s="67">
        <v>44438</v>
      </c>
      <c r="N57" s="68">
        <f t="shared" si="0"/>
        <v>179.98</v>
      </c>
    </row>
    <row r="58" spans="1:14" ht="15.75" customHeight="1" x14ac:dyDescent="0.35">
      <c r="A58" s="63" t="s">
        <v>175</v>
      </c>
      <c r="B58" s="64">
        <v>45471</v>
      </c>
      <c r="C58" s="63" t="s">
        <v>38</v>
      </c>
      <c r="D58" s="63" t="s">
        <v>39</v>
      </c>
      <c r="E58" s="63" t="s">
        <v>80</v>
      </c>
      <c r="F58" s="63" t="s">
        <v>81</v>
      </c>
      <c r="G58" s="63" t="s">
        <v>19</v>
      </c>
      <c r="H58" s="63">
        <v>3</v>
      </c>
      <c r="I58" s="63">
        <v>699.99</v>
      </c>
      <c r="J58" s="63" t="s">
        <v>26</v>
      </c>
      <c r="K58" s="63" t="s">
        <v>63</v>
      </c>
      <c r="L58" s="63" t="s">
        <v>27</v>
      </c>
      <c r="M58" s="64">
        <v>45102</v>
      </c>
      <c r="N58" s="69">
        <f t="shared" si="0"/>
        <v>2099.9700000000003</v>
      </c>
    </row>
    <row r="59" spans="1:14" ht="15.75" customHeight="1" x14ac:dyDescent="0.35">
      <c r="A59" s="66" t="s">
        <v>176</v>
      </c>
      <c r="B59" s="67">
        <v>45471</v>
      </c>
      <c r="C59" s="66" t="s">
        <v>99</v>
      </c>
      <c r="D59" s="66" t="s">
        <v>100</v>
      </c>
      <c r="E59" s="66" t="s">
        <v>61</v>
      </c>
      <c r="F59" s="66" t="s">
        <v>62</v>
      </c>
      <c r="G59" s="66" t="s">
        <v>19</v>
      </c>
      <c r="H59" s="66">
        <v>4</v>
      </c>
      <c r="I59" s="66">
        <v>899.99</v>
      </c>
      <c r="J59" s="66" t="s">
        <v>26</v>
      </c>
      <c r="K59" s="66" t="s">
        <v>63</v>
      </c>
      <c r="L59" s="66" t="s">
        <v>27</v>
      </c>
      <c r="M59" s="67">
        <v>44993</v>
      </c>
      <c r="N59" s="68">
        <f t="shared" si="0"/>
        <v>3599.96</v>
      </c>
    </row>
    <row r="60" spans="1:14" ht="15.75" customHeight="1" x14ac:dyDescent="0.35">
      <c r="A60" s="63" t="s">
        <v>177</v>
      </c>
      <c r="B60" s="64">
        <v>45472</v>
      </c>
      <c r="C60" s="63" t="s">
        <v>120</v>
      </c>
      <c r="D60" s="63" t="s">
        <v>121</v>
      </c>
      <c r="E60" s="63" t="s">
        <v>44</v>
      </c>
      <c r="F60" s="63" t="s">
        <v>45</v>
      </c>
      <c r="G60" s="63" t="s">
        <v>46</v>
      </c>
      <c r="H60" s="63">
        <v>1</v>
      </c>
      <c r="I60" s="63">
        <v>149.99</v>
      </c>
      <c r="J60" s="63" t="s">
        <v>34</v>
      </c>
      <c r="K60" s="63" t="s">
        <v>63</v>
      </c>
      <c r="L60" s="63" t="s">
        <v>22</v>
      </c>
      <c r="M60" s="64">
        <v>44851</v>
      </c>
      <c r="N60" s="69">
        <f t="shared" si="0"/>
        <v>149.99</v>
      </c>
    </row>
    <row r="61" spans="1:14" ht="15.75" customHeight="1" x14ac:dyDescent="0.35">
      <c r="A61" s="66" t="s">
        <v>178</v>
      </c>
      <c r="B61" s="67">
        <v>45474</v>
      </c>
      <c r="C61" s="66" t="s">
        <v>132</v>
      </c>
      <c r="D61" s="66" t="s">
        <v>133</v>
      </c>
      <c r="E61" s="66" t="s">
        <v>117</v>
      </c>
      <c r="F61" s="66" t="s">
        <v>118</v>
      </c>
      <c r="G61" s="66" t="s">
        <v>19</v>
      </c>
      <c r="H61" s="66">
        <v>2</v>
      </c>
      <c r="I61" s="66">
        <v>89.99</v>
      </c>
      <c r="J61" s="66" t="s">
        <v>34</v>
      </c>
      <c r="K61" s="66" t="s">
        <v>21</v>
      </c>
      <c r="L61" s="66" t="s">
        <v>27</v>
      </c>
      <c r="M61" s="67">
        <v>45275</v>
      </c>
      <c r="N61" s="68">
        <f t="shared" si="0"/>
        <v>179.98</v>
      </c>
    </row>
    <row r="62" spans="1:14" ht="15.75" customHeight="1" x14ac:dyDescent="0.35">
      <c r="A62" s="63" t="s">
        <v>179</v>
      </c>
      <c r="B62" s="64">
        <v>45475</v>
      </c>
      <c r="C62" s="63" t="s">
        <v>55</v>
      </c>
      <c r="D62" s="63" t="s">
        <v>56</v>
      </c>
      <c r="E62" s="63" t="s">
        <v>117</v>
      </c>
      <c r="F62" s="63" t="s">
        <v>118</v>
      </c>
      <c r="G62" s="63" t="s">
        <v>19</v>
      </c>
      <c r="H62" s="63">
        <v>1</v>
      </c>
      <c r="I62" s="63">
        <v>89.99</v>
      </c>
      <c r="J62" s="63" t="s">
        <v>34</v>
      </c>
      <c r="K62" s="63" t="s">
        <v>50</v>
      </c>
      <c r="L62" s="63" t="s">
        <v>36</v>
      </c>
      <c r="M62" s="64">
        <v>44802</v>
      </c>
      <c r="N62" s="69">
        <f t="shared" si="0"/>
        <v>89.99</v>
      </c>
    </row>
    <row r="63" spans="1:14" ht="15.75" customHeight="1" x14ac:dyDescent="0.35">
      <c r="A63" s="66" t="s">
        <v>180</v>
      </c>
      <c r="B63" s="67">
        <v>45476</v>
      </c>
      <c r="C63" s="66" t="s">
        <v>68</v>
      </c>
      <c r="D63" s="66" t="s">
        <v>69</v>
      </c>
      <c r="E63" s="66" t="s">
        <v>117</v>
      </c>
      <c r="F63" s="66" t="s">
        <v>118</v>
      </c>
      <c r="G63" s="66" t="s">
        <v>19</v>
      </c>
      <c r="H63" s="66">
        <v>1</v>
      </c>
      <c r="I63" s="66">
        <v>89.99</v>
      </c>
      <c r="J63" s="66" t="s">
        <v>20</v>
      </c>
      <c r="K63" s="66" t="s">
        <v>35</v>
      </c>
      <c r="L63" s="66" t="s">
        <v>36</v>
      </c>
      <c r="M63" s="67">
        <v>44611</v>
      </c>
      <c r="N63" s="68">
        <f t="shared" si="0"/>
        <v>89.99</v>
      </c>
    </row>
    <row r="64" spans="1:14" ht="15.75" customHeight="1" x14ac:dyDescent="0.35">
      <c r="A64" s="63" t="s">
        <v>181</v>
      </c>
      <c r="B64" s="64">
        <v>45476</v>
      </c>
      <c r="C64" s="63" t="s">
        <v>182</v>
      </c>
      <c r="D64" s="63" t="s">
        <v>183</v>
      </c>
      <c r="E64" s="63" t="s">
        <v>114</v>
      </c>
      <c r="F64" s="63" t="s">
        <v>115</v>
      </c>
      <c r="G64" s="63" t="s">
        <v>33</v>
      </c>
      <c r="H64" s="63">
        <v>5</v>
      </c>
      <c r="I64" s="63">
        <v>79.989999999999995</v>
      </c>
      <c r="J64" s="63" t="s">
        <v>57</v>
      </c>
      <c r="K64" s="63" t="s">
        <v>21</v>
      </c>
      <c r="L64" s="63" t="s">
        <v>22</v>
      </c>
      <c r="M64" s="64">
        <v>44981</v>
      </c>
      <c r="N64" s="69">
        <f t="shared" si="0"/>
        <v>399.95</v>
      </c>
    </row>
    <row r="65" spans="1:14" ht="15.75" customHeight="1" x14ac:dyDescent="0.35">
      <c r="A65" s="66" t="s">
        <v>184</v>
      </c>
      <c r="B65" s="67">
        <v>45481</v>
      </c>
      <c r="C65" s="66" t="s">
        <v>185</v>
      </c>
      <c r="D65" s="66" t="s">
        <v>186</v>
      </c>
      <c r="E65" s="66" t="s">
        <v>44</v>
      </c>
      <c r="F65" s="66" t="s">
        <v>45</v>
      </c>
      <c r="G65" s="66" t="s">
        <v>46</v>
      </c>
      <c r="H65" s="66">
        <v>1</v>
      </c>
      <c r="I65" s="66">
        <v>149.99</v>
      </c>
      <c r="J65" s="66" t="s">
        <v>34</v>
      </c>
      <c r="K65" s="66" t="s">
        <v>40</v>
      </c>
      <c r="L65" s="66" t="s">
        <v>22</v>
      </c>
      <c r="M65" s="67">
        <v>44421</v>
      </c>
      <c r="N65" s="68">
        <f t="shared" si="0"/>
        <v>149.99</v>
      </c>
    </row>
    <row r="66" spans="1:14" ht="15.75" customHeight="1" x14ac:dyDescent="0.35">
      <c r="A66" s="63" t="s">
        <v>187</v>
      </c>
      <c r="B66" s="64">
        <v>45481</v>
      </c>
      <c r="C66" s="63" t="s">
        <v>42</v>
      </c>
      <c r="D66" s="63" t="s">
        <v>43</v>
      </c>
      <c r="E66" s="63" t="s">
        <v>80</v>
      </c>
      <c r="F66" s="63" t="s">
        <v>81</v>
      </c>
      <c r="G66" s="63" t="s">
        <v>19</v>
      </c>
      <c r="H66" s="63">
        <v>2</v>
      </c>
      <c r="I66" s="63">
        <v>699.99</v>
      </c>
      <c r="J66" s="63" t="s">
        <v>34</v>
      </c>
      <c r="K66" s="63" t="s">
        <v>63</v>
      </c>
      <c r="L66" s="63" t="s">
        <v>27</v>
      </c>
      <c r="M66" s="64">
        <v>45389</v>
      </c>
      <c r="N66" s="69">
        <f t="shared" si="0"/>
        <v>1399.98</v>
      </c>
    </row>
    <row r="67" spans="1:14" ht="15.75" customHeight="1" x14ac:dyDescent="0.35">
      <c r="A67" s="66" t="s">
        <v>188</v>
      </c>
      <c r="B67" s="67">
        <v>45481</v>
      </c>
      <c r="C67" s="66" t="s">
        <v>96</v>
      </c>
      <c r="D67" s="66" t="s">
        <v>97</v>
      </c>
      <c r="E67" s="66" t="s">
        <v>117</v>
      </c>
      <c r="F67" s="66" t="s">
        <v>118</v>
      </c>
      <c r="G67" s="66" t="s">
        <v>19</v>
      </c>
      <c r="H67" s="66">
        <v>5</v>
      </c>
      <c r="I67" s="66">
        <v>89.99</v>
      </c>
      <c r="J67" s="66" t="s">
        <v>57</v>
      </c>
      <c r="K67" s="66" t="s">
        <v>40</v>
      </c>
      <c r="L67" s="66" t="s">
        <v>27</v>
      </c>
      <c r="M67" s="67">
        <v>45161</v>
      </c>
      <c r="N67" s="68">
        <f t="shared" ref="N67:N130" si="1">I67*H67</f>
        <v>449.95</v>
      </c>
    </row>
    <row r="68" spans="1:14" ht="15.75" customHeight="1" x14ac:dyDescent="0.35">
      <c r="A68" s="63" t="s">
        <v>189</v>
      </c>
      <c r="B68" s="64">
        <v>45482</v>
      </c>
      <c r="C68" s="63" t="s">
        <v>171</v>
      </c>
      <c r="D68" s="63" t="s">
        <v>172</v>
      </c>
      <c r="E68" s="63" t="s">
        <v>31</v>
      </c>
      <c r="F68" s="63" t="s">
        <v>32</v>
      </c>
      <c r="G68" s="63" t="s">
        <v>33</v>
      </c>
      <c r="H68" s="63">
        <v>4</v>
      </c>
      <c r="I68" s="63">
        <v>59.99</v>
      </c>
      <c r="J68" s="63" t="s">
        <v>20</v>
      </c>
      <c r="K68" s="63" t="s">
        <v>35</v>
      </c>
      <c r="L68" s="63" t="s">
        <v>36</v>
      </c>
      <c r="M68" s="64">
        <v>44509</v>
      </c>
      <c r="N68" s="69">
        <f t="shared" si="1"/>
        <v>239.96</v>
      </c>
    </row>
    <row r="69" spans="1:14" ht="15.75" customHeight="1" x14ac:dyDescent="0.35">
      <c r="A69" s="66" t="s">
        <v>190</v>
      </c>
      <c r="B69" s="67">
        <v>45484</v>
      </c>
      <c r="C69" s="66" t="s">
        <v>24</v>
      </c>
      <c r="D69" s="66" t="s">
        <v>25</v>
      </c>
      <c r="E69" s="66" t="s">
        <v>52</v>
      </c>
      <c r="F69" s="66" t="s">
        <v>53</v>
      </c>
      <c r="G69" s="66" t="s">
        <v>19</v>
      </c>
      <c r="H69" s="66">
        <v>1</v>
      </c>
      <c r="I69" s="66">
        <v>149.99</v>
      </c>
      <c r="J69" s="66" t="s">
        <v>20</v>
      </c>
      <c r="K69" s="66" t="s">
        <v>21</v>
      </c>
      <c r="L69" s="66" t="s">
        <v>36</v>
      </c>
      <c r="M69" s="67">
        <v>44909</v>
      </c>
      <c r="N69" s="68">
        <f t="shared" si="1"/>
        <v>149.99</v>
      </c>
    </row>
    <row r="70" spans="1:14" ht="15.75" customHeight="1" x14ac:dyDescent="0.35">
      <c r="A70" s="63" t="s">
        <v>191</v>
      </c>
      <c r="B70" s="64">
        <v>45484</v>
      </c>
      <c r="C70" s="63" t="s">
        <v>192</v>
      </c>
      <c r="D70" s="63" t="s">
        <v>193</v>
      </c>
      <c r="E70" s="63" t="s">
        <v>105</v>
      </c>
      <c r="F70" s="63" t="s">
        <v>106</v>
      </c>
      <c r="G70" s="63" t="s">
        <v>46</v>
      </c>
      <c r="H70" s="63">
        <v>1</v>
      </c>
      <c r="I70" s="63">
        <v>299.99</v>
      </c>
      <c r="J70" s="63" t="s">
        <v>26</v>
      </c>
      <c r="K70" s="63" t="s">
        <v>40</v>
      </c>
      <c r="L70" s="63" t="s">
        <v>27</v>
      </c>
      <c r="M70" s="64">
        <v>44891</v>
      </c>
      <c r="N70" s="69">
        <f t="shared" si="1"/>
        <v>299.99</v>
      </c>
    </row>
    <row r="71" spans="1:14" ht="15.75" customHeight="1" x14ac:dyDescent="0.35">
      <c r="A71" s="66" t="s">
        <v>194</v>
      </c>
      <c r="B71" s="67">
        <v>45487</v>
      </c>
      <c r="C71" s="66" t="s">
        <v>192</v>
      </c>
      <c r="D71" s="66" t="s">
        <v>193</v>
      </c>
      <c r="E71" s="66" t="s">
        <v>126</v>
      </c>
      <c r="F71" s="66" t="s">
        <v>127</v>
      </c>
      <c r="G71" s="66" t="s">
        <v>46</v>
      </c>
      <c r="H71" s="66">
        <v>2</v>
      </c>
      <c r="I71" s="66">
        <v>199.99</v>
      </c>
      <c r="J71" s="66" t="s">
        <v>20</v>
      </c>
      <c r="K71" s="66" t="s">
        <v>40</v>
      </c>
      <c r="L71" s="66" t="s">
        <v>22</v>
      </c>
      <c r="M71" s="67">
        <v>44541</v>
      </c>
      <c r="N71" s="68">
        <f t="shared" si="1"/>
        <v>399.98</v>
      </c>
    </row>
    <row r="72" spans="1:14" ht="15.75" customHeight="1" x14ac:dyDescent="0.35">
      <c r="A72" s="63" t="s">
        <v>195</v>
      </c>
      <c r="B72" s="64">
        <v>45490</v>
      </c>
      <c r="C72" s="63" t="s">
        <v>196</v>
      </c>
      <c r="D72" s="63" t="s">
        <v>197</v>
      </c>
      <c r="E72" s="63" t="s">
        <v>31</v>
      </c>
      <c r="F72" s="63" t="s">
        <v>32</v>
      </c>
      <c r="G72" s="63" t="s">
        <v>33</v>
      </c>
      <c r="H72" s="63">
        <v>3</v>
      </c>
      <c r="I72" s="63">
        <v>59.99</v>
      </c>
      <c r="J72" s="63" t="s">
        <v>26</v>
      </c>
      <c r="K72" s="63" t="s">
        <v>50</v>
      </c>
      <c r="L72" s="63" t="s">
        <v>22</v>
      </c>
      <c r="M72" s="64">
        <v>45130</v>
      </c>
      <c r="N72" s="69">
        <f t="shared" si="1"/>
        <v>179.97</v>
      </c>
    </row>
    <row r="73" spans="1:14" ht="15.75" customHeight="1" x14ac:dyDescent="0.35">
      <c r="A73" s="66" t="s">
        <v>198</v>
      </c>
      <c r="B73" s="67">
        <v>45490</v>
      </c>
      <c r="C73" s="66" t="s">
        <v>72</v>
      </c>
      <c r="D73" s="66" t="s">
        <v>73</v>
      </c>
      <c r="E73" s="66" t="s">
        <v>44</v>
      </c>
      <c r="F73" s="66" t="s">
        <v>45</v>
      </c>
      <c r="G73" s="66" t="s">
        <v>46</v>
      </c>
      <c r="H73" s="66">
        <v>3</v>
      </c>
      <c r="I73" s="66">
        <v>149.99</v>
      </c>
      <c r="J73" s="66" t="s">
        <v>20</v>
      </c>
      <c r="K73" s="66" t="s">
        <v>21</v>
      </c>
      <c r="L73" s="66" t="s">
        <v>27</v>
      </c>
      <c r="M73" s="67">
        <v>45199</v>
      </c>
      <c r="N73" s="68">
        <f t="shared" si="1"/>
        <v>449.97</v>
      </c>
    </row>
    <row r="74" spans="1:14" ht="15.75" customHeight="1" x14ac:dyDescent="0.35">
      <c r="A74" s="63" t="s">
        <v>199</v>
      </c>
      <c r="B74" s="64">
        <v>45491</v>
      </c>
      <c r="C74" s="63" t="s">
        <v>65</v>
      </c>
      <c r="D74" s="63" t="s">
        <v>66</v>
      </c>
      <c r="E74" s="63" t="s">
        <v>126</v>
      </c>
      <c r="F74" s="63" t="s">
        <v>127</v>
      </c>
      <c r="G74" s="63" t="s">
        <v>46</v>
      </c>
      <c r="H74" s="63">
        <v>3</v>
      </c>
      <c r="I74" s="63">
        <v>199.99</v>
      </c>
      <c r="J74" s="63" t="s">
        <v>20</v>
      </c>
      <c r="K74" s="63" t="s">
        <v>40</v>
      </c>
      <c r="L74" s="63" t="s">
        <v>27</v>
      </c>
      <c r="M74" s="64">
        <v>45254</v>
      </c>
      <c r="N74" s="69">
        <f t="shared" si="1"/>
        <v>599.97</v>
      </c>
    </row>
    <row r="75" spans="1:14" ht="15.75" customHeight="1" x14ac:dyDescent="0.35">
      <c r="A75" s="66" t="s">
        <v>200</v>
      </c>
      <c r="B75" s="67">
        <v>45496</v>
      </c>
      <c r="C75" s="66" t="s">
        <v>150</v>
      </c>
      <c r="D75" s="66" t="s">
        <v>151</v>
      </c>
      <c r="E75" s="66" t="s">
        <v>61</v>
      </c>
      <c r="F75" s="66" t="s">
        <v>62</v>
      </c>
      <c r="G75" s="66" t="s">
        <v>19</v>
      </c>
      <c r="H75" s="66">
        <v>1</v>
      </c>
      <c r="I75" s="66">
        <v>899.99</v>
      </c>
      <c r="J75" s="66" t="s">
        <v>20</v>
      </c>
      <c r="K75" s="66" t="s">
        <v>21</v>
      </c>
      <c r="L75" s="66" t="s">
        <v>36</v>
      </c>
      <c r="M75" s="67">
        <v>45179</v>
      </c>
      <c r="N75" s="68">
        <f t="shared" si="1"/>
        <v>899.99</v>
      </c>
    </row>
    <row r="76" spans="1:14" ht="15.75" customHeight="1" x14ac:dyDescent="0.35">
      <c r="A76" s="63" t="s">
        <v>201</v>
      </c>
      <c r="B76" s="64">
        <v>45497</v>
      </c>
      <c r="C76" s="63" t="s">
        <v>24</v>
      </c>
      <c r="D76" s="63" t="s">
        <v>25</v>
      </c>
      <c r="E76" s="63" t="s">
        <v>61</v>
      </c>
      <c r="F76" s="63" t="s">
        <v>62</v>
      </c>
      <c r="G76" s="63" t="s">
        <v>19</v>
      </c>
      <c r="H76" s="63">
        <v>5</v>
      </c>
      <c r="I76" s="63">
        <v>899.99</v>
      </c>
      <c r="J76" s="63" t="s">
        <v>57</v>
      </c>
      <c r="K76" s="63" t="s">
        <v>35</v>
      </c>
      <c r="L76" s="63" t="s">
        <v>36</v>
      </c>
      <c r="M76" s="64">
        <v>44899</v>
      </c>
      <c r="N76" s="69">
        <f t="shared" si="1"/>
        <v>4499.95</v>
      </c>
    </row>
    <row r="77" spans="1:14" ht="15.75" customHeight="1" x14ac:dyDescent="0.35">
      <c r="A77" s="66" t="s">
        <v>202</v>
      </c>
      <c r="B77" s="67">
        <v>45498</v>
      </c>
      <c r="C77" s="66" t="s">
        <v>182</v>
      </c>
      <c r="D77" s="66" t="s">
        <v>183</v>
      </c>
      <c r="E77" s="66" t="s">
        <v>31</v>
      </c>
      <c r="F77" s="66" t="s">
        <v>32</v>
      </c>
      <c r="G77" s="66" t="s">
        <v>33</v>
      </c>
      <c r="H77" s="66">
        <v>2</v>
      </c>
      <c r="I77" s="66">
        <v>59.99</v>
      </c>
      <c r="J77" s="66" t="s">
        <v>20</v>
      </c>
      <c r="K77" s="66" t="s">
        <v>40</v>
      </c>
      <c r="L77" s="66" t="s">
        <v>36</v>
      </c>
      <c r="M77" s="67">
        <v>45152</v>
      </c>
      <c r="N77" s="68">
        <f t="shared" si="1"/>
        <v>119.98</v>
      </c>
    </row>
    <row r="78" spans="1:14" ht="15.75" customHeight="1" x14ac:dyDescent="0.35">
      <c r="A78" s="63" t="s">
        <v>203</v>
      </c>
      <c r="B78" s="64">
        <v>45498</v>
      </c>
      <c r="C78" s="63" t="s">
        <v>196</v>
      </c>
      <c r="D78" s="63" t="s">
        <v>197</v>
      </c>
      <c r="E78" s="63" t="s">
        <v>17</v>
      </c>
      <c r="F78" s="63" t="s">
        <v>18</v>
      </c>
      <c r="G78" s="63" t="s">
        <v>19</v>
      </c>
      <c r="H78" s="63">
        <v>4</v>
      </c>
      <c r="I78" s="63">
        <v>249.99</v>
      </c>
      <c r="J78" s="63" t="s">
        <v>57</v>
      </c>
      <c r="K78" s="63" t="s">
        <v>21</v>
      </c>
      <c r="L78" s="63" t="s">
        <v>36</v>
      </c>
      <c r="M78" s="64">
        <v>45127</v>
      </c>
      <c r="N78" s="69">
        <f t="shared" si="1"/>
        <v>999.96</v>
      </c>
    </row>
    <row r="79" spans="1:14" ht="15.75" customHeight="1" x14ac:dyDescent="0.35">
      <c r="A79" s="66" t="s">
        <v>204</v>
      </c>
      <c r="B79" s="67">
        <v>45500</v>
      </c>
      <c r="C79" s="66" t="s">
        <v>96</v>
      </c>
      <c r="D79" s="66" t="s">
        <v>97</v>
      </c>
      <c r="E79" s="66" t="s">
        <v>17</v>
      </c>
      <c r="F79" s="66" t="s">
        <v>18</v>
      </c>
      <c r="G79" s="66" t="s">
        <v>19</v>
      </c>
      <c r="H79" s="66">
        <v>2</v>
      </c>
      <c r="I79" s="66">
        <v>249.99</v>
      </c>
      <c r="J79" s="66" t="s">
        <v>20</v>
      </c>
      <c r="K79" s="66" t="s">
        <v>40</v>
      </c>
      <c r="L79" s="66" t="s">
        <v>27</v>
      </c>
      <c r="M79" s="67">
        <v>45164</v>
      </c>
      <c r="N79" s="68">
        <f t="shared" si="1"/>
        <v>499.98</v>
      </c>
    </row>
    <row r="80" spans="1:14" ht="15.75" customHeight="1" x14ac:dyDescent="0.35">
      <c r="A80" s="63" t="s">
        <v>205</v>
      </c>
      <c r="B80" s="64">
        <v>45500</v>
      </c>
      <c r="C80" s="63" t="s">
        <v>147</v>
      </c>
      <c r="D80" s="63" t="s">
        <v>148</v>
      </c>
      <c r="E80" s="63" t="s">
        <v>105</v>
      </c>
      <c r="F80" s="63" t="s">
        <v>106</v>
      </c>
      <c r="G80" s="63" t="s">
        <v>46</v>
      </c>
      <c r="H80" s="63">
        <v>1</v>
      </c>
      <c r="I80" s="63">
        <v>299.99</v>
      </c>
      <c r="J80" s="63" t="s">
        <v>20</v>
      </c>
      <c r="K80" s="63" t="s">
        <v>35</v>
      </c>
      <c r="L80" s="63" t="s">
        <v>22</v>
      </c>
      <c r="M80" s="64">
        <v>44982</v>
      </c>
      <c r="N80" s="69">
        <f t="shared" si="1"/>
        <v>299.99</v>
      </c>
    </row>
    <row r="81" spans="1:14" ht="15.75" customHeight="1" x14ac:dyDescent="0.35">
      <c r="A81" s="66" t="s">
        <v>206</v>
      </c>
      <c r="B81" s="67">
        <v>45501</v>
      </c>
      <c r="C81" s="66" t="s">
        <v>86</v>
      </c>
      <c r="D81" s="66" t="s">
        <v>87</v>
      </c>
      <c r="E81" s="66" t="s">
        <v>117</v>
      </c>
      <c r="F81" s="66" t="s">
        <v>118</v>
      </c>
      <c r="G81" s="66" t="s">
        <v>19</v>
      </c>
      <c r="H81" s="66">
        <v>2</v>
      </c>
      <c r="I81" s="66">
        <v>89.99</v>
      </c>
      <c r="J81" s="66" t="s">
        <v>34</v>
      </c>
      <c r="K81" s="66" t="s">
        <v>35</v>
      </c>
      <c r="L81" s="66" t="s">
        <v>22</v>
      </c>
      <c r="M81" s="67">
        <v>44976</v>
      </c>
      <c r="N81" s="68">
        <f t="shared" si="1"/>
        <v>179.98</v>
      </c>
    </row>
    <row r="82" spans="1:14" ht="15.75" customHeight="1" x14ac:dyDescent="0.35">
      <c r="A82" s="63" t="s">
        <v>207</v>
      </c>
      <c r="B82" s="64">
        <v>45501</v>
      </c>
      <c r="C82" s="63" t="s">
        <v>147</v>
      </c>
      <c r="D82" s="63" t="s">
        <v>148</v>
      </c>
      <c r="E82" s="63" t="s">
        <v>105</v>
      </c>
      <c r="F82" s="63" t="s">
        <v>106</v>
      </c>
      <c r="G82" s="63" t="s">
        <v>46</v>
      </c>
      <c r="H82" s="63">
        <v>3</v>
      </c>
      <c r="I82" s="63">
        <v>299.99</v>
      </c>
      <c r="J82" s="63" t="s">
        <v>20</v>
      </c>
      <c r="K82" s="63" t="s">
        <v>21</v>
      </c>
      <c r="L82" s="63" t="s">
        <v>22</v>
      </c>
      <c r="M82" s="64">
        <v>44732</v>
      </c>
      <c r="N82" s="69">
        <f t="shared" si="1"/>
        <v>899.97</v>
      </c>
    </row>
    <row r="83" spans="1:14" ht="15.75" customHeight="1" x14ac:dyDescent="0.35">
      <c r="A83" s="66" t="s">
        <v>208</v>
      </c>
      <c r="B83" s="67">
        <v>45503</v>
      </c>
      <c r="C83" s="66" t="s">
        <v>86</v>
      </c>
      <c r="D83" s="66" t="s">
        <v>87</v>
      </c>
      <c r="E83" s="66" t="s">
        <v>80</v>
      </c>
      <c r="F83" s="66" t="s">
        <v>81</v>
      </c>
      <c r="G83" s="66" t="s">
        <v>19</v>
      </c>
      <c r="H83" s="66">
        <v>2</v>
      </c>
      <c r="I83" s="66">
        <v>699.99</v>
      </c>
      <c r="J83" s="66" t="s">
        <v>26</v>
      </c>
      <c r="K83" s="66" t="s">
        <v>40</v>
      </c>
      <c r="L83" s="66" t="s">
        <v>27</v>
      </c>
      <c r="M83" s="67">
        <v>44999</v>
      </c>
      <c r="N83" s="68">
        <f t="shared" si="1"/>
        <v>1399.98</v>
      </c>
    </row>
    <row r="84" spans="1:14" ht="15.75" customHeight="1" x14ac:dyDescent="0.35">
      <c r="A84" s="63" t="s">
        <v>209</v>
      </c>
      <c r="B84" s="64">
        <v>45504</v>
      </c>
      <c r="C84" s="63" t="s">
        <v>120</v>
      </c>
      <c r="D84" s="63" t="s">
        <v>121</v>
      </c>
      <c r="E84" s="63" t="s">
        <v>61</v>
      </c>
      <c r="F84" s="63" t="s">
        <v>62</v>
      </c>
      <c r="G84" s="63" t="s">
        <v>19</v>
      </c>
      <c r="H84" s="63">
        <v>4</v>
      </c>
      <c r="I84" s="63">
        <v>899.99</v>
      </c>
      <c r="J84" s="63" t="s">
        <v>57</v>
      </c>
      <c r="K84" s="63" t="s">
        <v>35</v>
      </c>
      <c r="L84" s="63" t="s">
        <v>36</v>
      </c>
      <c r="M84" s="64">
        <v>44523</v>
      </c>
      <c r="N84" s="69">
        <f t="shared" si="1"/>
        <v>3599.96</v>
      </c>
    </row>
    <row r="85" spans="1:14" ht="15.75" customHeight="1" x14ac:dyDescent="0.35">
      <c r="A85" s="66" t="s">
        <v>210</v>
      </c>
      <c r="B85" s="67">
        <v>45509</v>
      </c>
      <c r="C85" s="66" t="s">
        <v>211</v>
      </c>
      <c r="D85" s="66" t="s">
        <v>212</v>
      </c>
      <c r="E85" s="66" t="s">
        <v>44</v>
      </c>
      <c r="F85" s="66" t="s">
        <v>45</v>
      </c>
      <c r="G85" s="66" t="s">
        <v>46</v>
      </c>
      <c r="H85" s="66">
        <v>2</v>
      </c>
      <c r="I85" s="66">
        <v>149.99</v>
      </c>
      <c r="J85" s="66" t="s">
        <v>26</v>
      </c>
      <c r="K85" s="66" t="s">
        <v>50</v>
      </c>
      <c r="L85" s="66" t="s">
        <v>22</v>
      </c>
      <c r="M85" s="67">
        <v>44542</v>
      </c>
      <c r="N85" s="68">
        <f t="shared" si="1"/>
        <v>299.98</v>
      </c>
    </row>
    <row r="86" spans="1:14" ht="15.75" customHeight="1" x14ac:dyDescent="0.35">
      <c r="A86" s="63" t="s">
        <v>213</v>
      </c>
      <c r="B86" s="64">
        <v>45510</v>
      </c>
      <c r="C86" s="63" t="s">
        <v>102</v>
      </c>
      <c r="D86" s="63" t="s">
        <v>103</v>
      </c>
      <c r="E86" s="63" t="s">
        <v>44</v>
      </c>
      <c r="F86" s="63" t="s">
        <v>45</v>
      </c>
      <c r="G86" s="63" t="s">
        <v>46</v>
      </c>
      <c r="H86" s="63">
        <v>2</v>
      </c>
      <c r="I86" s="63">
        <v>149.99</v>
      </c>
      <c r="J86" s="63" t="s">
        <v>57</v>
      </c>
      <c r="K86" s="63" t="s">
        <v>63</v>
      </c>
      <c r="L86" s="63" t="s">
        <v>36</v>
      </c>
      <c r="M86" s="64">
        <v>44667</v>
      </c>
      <c r="N86" s="69">
        <f t="shared" si="1"/>
        <v>299.98</v>
      </c>
    </row>
    <row r="87" spans="1:14" ht="15.75" customHeight="1" x14ac:dyDescent="0.35">
      <c r="A87" s="66" t="s">
        <v>214</v>
      </c>
      <c r="B87" s="67">
        <v>45513</v>
      </c>
      <c r="C87" s="66" t="s">
        <v>89</v>
      </c>
      <c r="D87" s="66" t="s">
        <v>90</v>
      </c>
      <c r="E87" s="66" t="s">
        <v>117</v>
      </c>
      <c r="F87" s="66" t="s">
        <v>118</v>
      </c>
      <c r="G87" s="66" t="s">
        <v>19</v>
      </c>
      <c r="H87" s="66">
        <v>1</v>
      </c>
      <c r="I87" s="66">
        <v>89.99</v>
      </c>
      <c r="J87" s="66" t="s">
        <v>26</v>
      </c>
      <c r="K87" s="66" t="s">
        <v>40</v>
      </c>
      <c r="L87" s="66" t="s">
        <v>36</v>
      </c>
      <c r="M87" s="67">
        <v>45393</v>
      </c>
      <c r="N87" s="68">
        <f t="shared" si="1"/>
        <v>89.99</v>
      </c>
    </row>
    <row r="88" spans="1:14" ht="15.75" customHeight="1" x14ac:dyDescent="0.35">
      <c r="A88" s="63" t="s">
        <v>215</v>
      </c>
      <c r="B88" s="64">
        <v>45515</v>
      </c>
      <c r="C88" s="63" t="s">
        <v>86</v>
      </c>
      <c r="D88" s="63" t="s">
        <v>87</v>
      </c>
      <c r="E88" s="63" t="s">
        <v>105</v>
      </c>
      <c r="F88" s="63" t="s">
        <v>106</v>
      </c>
      <c r="G88" s="63" t="s">
        <v>46</v>
      </c>
      <c r="H88" s="63">
        <v>5</v>
      </c>
      <c r="I88" s="63">
        <v>299.99</v>
      </c>
      <c r="J88" s="63" t="s">
        <v>26</v>
      </c>
      <c r="K88" s="63" t="s">
        <v>40</v>
      </c>
      <c r="L88" s="63" t="s">
        <v>22</v>
      </c>
      <c r="M88" s="64">
        <v>44965</v>
      </c>
      <c r="N88" s="69">
        <f t="shared" si="1"/>
        <v>1499.95</v>
      </c>
    </row>
    <row r="89" spans="1:14" ht="15.75" customHeight="1" x14ac:dyDescent="0.35">
      <c r="A89" s="66" t="s">
        <v>216</v>
      </c>
      <c r="B89" s="67">
        <v>45517</v>
      </c>
      <c r="C89" s="66" t="s">
        <v>182</v>
      </c>
      <c r="D89" s="66" t="s">
        <v>183</v>
      </c>
      <c r="E89" s="66" t="s">
        <v>52</v>
      </c>
      <c r="F89" s="66" t="s">
        <v>53</v>
      </c>
      <c r="G89" s="66" t="s">
        <v>19</v>
      </c>
      <c r="H89" s="66">
        <v>4</v>
      </c>
      <c r="I89" s="66">
        <v>149.99</v>
      </c>
      <c r="J89" s="66" t="s">
        <v>57</v>
      </c>
      <c r="K89" s="66" t="s">
        <v>35</v>
      </c>
      <c r="L89" s="66" t="s">
        <v>27</v>
      </c>
      <c r="M89" s="67">
        <v>44820</v>
      </c>
      <c r="N89" s="68">
        <f t="shared" si="1"/>
        <v>599.96</v>
      </c>
    </row>
    <row r="90" spans="1:14" ht="15.75" customHeight="1" x14ac:dyDescent="0.35">
      <c r="A90" s="63" t="s">
        <v>217</v>
      </c>
      <c r="B90" s="64">
        <v>45517</v>
      </c>
      <c r="C90" s="63" t="s">
        <v>185</v>
      </c>
      <c r="D90" s="63" t="s">
        <v>186</v>
      </c>
      <c r="E90" s="63" t="s">
        <v>17</v>
      </c>
      <c r="F90" s="63" t="s">
        <v>18</v>
      </c>
      <c r="G90" s="63" t="s">
        <v>19</v>
      </c>
      <c r="H90" s="63">
        <v>5</v>
      </c>
      <c r="I90" s="63">
        <v>249.99</v>
      </c>
      <c r="J90" s="63" t="s">
        <v>34</v>
      </c>
      <c r="K90" s="63" t="s">
        <v>63</v>
      </c>
      <c r="L90" s="63" t="s">
        <v>27</v>
      </c>
      <c r="M90" s="64">
        <v>44782</v>
      </c>
      <c r="N90" s="69">
        <f t="shared" si="1"/>
        <v>1249.95</v>
      </c>
    </row>
    <row r="91" spans="1:14" ht="15.75" customHeight="1" x14ac:dyDescent="0.35">
      <c r="A91" s="66" t="s">
        <v>218</v>
      </c>
      <c r="B91" s="67">
        <v>45517</v>
      </c>
      <c r="C91" s="66" t="s">
        <v>65</v>
      </c>
      <c r="D91" s="66" t="s">
        <v>66</v>
      </c>
      <c r="E91" s="66" t="s">
        <v>17</v>
      </c>
      <c r="F91" s="66" t="s">
        <v>18</v>
      </c>
      <c r="G91" s="66" t="s">
        <v>19</v>
      </c>
      <c r="H91" s="66">
        <v>3</v>
      </c>
      <c r="I91" s="66">
        <v>249.99</v>
      </c>
      <c r="J91" s="66" t="s">
        <v>34</v>
      </c>
      <c r="K91" s="66" t="s">
        <v>40</v>
      </c>
      <c r="L91" s="66" t="s">
        <v>27</v>
      </c>
      <c r="M91" s="67">
        <v>44465</v>
      </c>
      <c r="N91" s="68">
        <f t="shared" si="1"/>
        <v>749.97</v>
      </c>
    </row>
    <row r="92" spans="1:14" ht="15.75" customHeight="1" x14ac:dyDescent="0.35">
      <c r="A92" s="63" t="s">
        <v>219</v>
      </c>
      <c r="B92" s="64">
        <v>45517</v>
      </c>
      <c r="C92" s="63" t="s">
        <v>38</v>
      </c>
      <c r="D92" s="63" t="s">
        <v>39</v>
      </c>
      <c r="E92" s="63" t="s">
        <v>126</v>
      </c>
      <c r="F92" s="63" t="s">
        <v>127</v>
      </c>
      <c r="G92" s="63" t="s">
        <v>46</v>
      </c>
      <c r="H92" s="63">
        <v>4</v>
      </c>
      <c r="I92" s="63">
        <v>199.99</v>
      </c>
      <c r="J92" s="63" t="s">
        <v>20</v>
      </c>
      <c r="K92" s="63" t="s">
        <v>40</v>
      </c>
      <c r="L92" s="63" t="s">
        <v>36</v>
      </c>
      <c r="M92" s="64">
        <v>44458</v>
      </c>
      <c r="N92" s="69">
        <f t="shared" si="1"/>
        <v>799.96</v>
      </c>
    </row>
    <row r="93" spans="1:14" ht="15.75" customHeight="1" x14ac:dyDescent="0.35">
      <c r="A93" s="66" t="s">
        <v>220</v>
      </c>
      <c r="B93" s="67">
        <v>45519</v>
      </c>
      <c r="C93" s="66" t="s">
        <v>158</v>
      </c>
      <c r="D93" s="66" t="s">
        <v>159</v>
      </c>
      <c r="E93" s="66" t="s">
        <v>126</v>
      </c>
      <c r="F93" s="66" t="s">
        <v>127</v>
      </c>
      <c r="G93" s="66" t="s">
        <v>46</v>
      </c>
      <c r="H93" s="66">
        <v>5</v>
      </c>
      <c r="I93" s="66">
        <v>199.99</v>
      </c>
      <c r="J93" s="66" t="s">
        <v>20</v>
      </c>
      <c r="K93" s="66" t="s">
        <v>40</v>
      </c>
      <c r="L93" s="66" t="s">
        <v>27</v>
      </c>
      <c r="M93" s="67">
        <v>44991</v>
      </c>
      <c r="N93" s="68">
        <f t="shared" si="1"/>
        <v>999.95</v>
      </c>
    </row>
    <row r="94" spans="1:14" ht="15.75" customHeight="1" x14ac:dyDescent="0.35">
      <c r="A94" s="63" t="s">
        <v>221</v>
      </c>
      <c r="B94" s="64">
        <v>45522</v>
      </c>
      <c r="C94" s="63" t="s">
        <v>86</v>
      </c>
      <c r="D94" s="63" t="s">
        <v>87</v>
      </c>
      <c r="E94" s="63" t="s">
        <v>117</v>
      </c>
      <c r="F94" s="63" t="s">
        <v>118</v>
      </c>
      <c r="G94" s="63" t="s">
        <v>19</v>
      </c>
      <c r="H94" s="63">
        <v>2</v>
      </c>
      <c r="I94" s="63">
        <v>89.99</v>
      </c>
      <c r="J94" s="63" t="s">
        <v>20</v>
      </c>
      <c r="K94" s="63" t="s">
        <v>63</v>
      </c>
      <c r="L94" s="63" t="s">
        <v>27</v>
      </c>
      <c r="M94" s="64">
        <v>44972</v>
      </c>
      <c r="N94" s="69">
        <f t="shared" si="1"/>
        <v>179.98</v>
      </c>
    </row>
    <row r="95" spans="1:14" ht="15.75" customHeight="1" x14ac:dyDescent="0.35">
      <c r="A95" s="66" t="s">
        <v>222</v>
      </c>
      <c r="B95" s="67">
        <v>45523</v>
      </c>
      <c r="C95" s="66" t="s">
        <v>196</v>
      </c>
      <c r="D95" s="66" t="s">
        <v>197</v>
      </c>
      <c r="E95" s="66" t="s">
        <v>61</v>
      </c>
      <c r="F95" s="66" t="s">
        <v>62</v>
      </c>
      <c r="G95" s="66" t="s">
        <v>19</v>
      </c>
      <c r="H95" s="66">
        <v>5</v>
      </c>
      <c r="I95" s="66">
        <v>899.99</v>
      </c>
      <c r="J95" s="66" t="s">
        <v>57</v>
      </c>
      <c r="K95" s="66" t="s">
        <v>63</v>
      </c>
      <c r="L95" s="66" t="s">
        <v>22</v>
      </c>
      <c r="M95" s="67">
        <v>44526</v>
      </c>
      <c r="N95" s="68">
        <f t="shared" si="1"/>
        <v>4499.95</v>
      </c>
    </row>
    <row r="96" spans="1:14" ht="15.75" customHeight="1" x14ac:dyDescent="0.35">
      <c r="A96" s="63" t="s">
        <v>223</v>
      </c>
      <c r="B96" s="64">
        <v>45523</v>
      </c>
      <c r="C96" s="63" t="s">
        <v>108</v>
      </c>
      <c r="D96" s="63" t="s">
        <v>109</v>
      </c>
      <c r="E96" s="63" t="s">
        <v>52</v>
      </c>
      <c r="F96" s="63" t="s">
        <v>53</v>
      </c>
      <c r="G96" s="63" t="s">
        <v>19</v>
      </c>
      <c r="H96" s="63">
        <v>3</v>
      </c>
      <c r="I96" s="63">
        <v>149.99</v>
      </c>
      <c r="J96" s="63" t="s">
        <v>34</v>
      </c>
      <c r="K96" s="63" t="s">
        <v>63</v>
      </c>
      <c r="L96" s="63" t="s">
        <v>22</v>
      </c>
      <c r="M96" s="64">
        <v>44574</v>
      </c>
      <c r="N96" s="69">
        <f t="shared" si="1"/>
        <v>449.97</v>
      </c>
    </row>
    <row r="97" spans="1:14" ht="15.75" customHeight="1" x14ac:dyDescent="0.35">
      <c r="A97" s="66" t="s">
        <v>224</v>
      </c>
      <c r="B97" s="67">
        <v>45526</v>
      </c>
      <c r="C97" s="66" t="s">
        <v>102</v>
      </c>
      <c r="D97" s="66" t="s">
        <v>103</v>
      </c>
      <c r="E97" s="66" t="s">
        <v>44</v>
      </c>
      <c r="F97" s="66" t="s">
        <v>45</v>
      </c>
      <c r="G97" s="66" t="s">
        <v>46</v>
      </c>
      <c r="H97" s="66">
        <v>5</v>
      </c>
      <c r="I97" s="66">
        <v>149.99</v>
      </c>
      <c r="J97" s="66" t="s">
        <v>26</v>
      </c>
      <c r="K97" s="66" t="s">
        <v>21</v>
      </c>
      <c r="L97" s="66" t="s">
        <v>22</v>
      </c>
      <c r="M97" s="67">
        <v>45310</v>
      </c>
      <c r="N97" s="68">
        <f t="shared" si="1"/>
        <v>749.95</v>
      </c>
    </row>
    <row r="98" spans="1:14" ht="15.75" customHeight="1" x14ac:dyDescent="0.35">
      <c r="A98" s="63" t="s">
        <v>225</v>
      </c>
      <c r="B98" s="64">
        <v>45528</v>
      </c>
      <c r="C98" s="63" t="s">
        <v>226</v>
      </c>
      <c r="D98" s="63" t="s">
        <v>227</v>
      </c>
      <c r="E98" s="63" t="s">
        <v>114</v>
      </c>
      <c r="F98" s="63" t="s">
        <v>115</v>
      </c>
      <c r="G98" s="63" t="s">
        <v>33</v>
      </c>
      <c r="H98" s="63">
        <v>3</v>
      </c>
      <c r="I98" s="63">
        <v>79.989999999999995</v>
      </c>
      <c r="J98" s="63" t="s">
        <v>20</v>
      </c>
      <c r="K98" s="63" t="s">
        <v>21</v>
      </c>
      <c r="L98" s="63" t="s">
        <v>27</v>
      </c>
      <c r="M98" s="64">
        <v>44779</v>
      </c>
      <c r="N98" s="69">
        <f t="shared" si="1"/>
        <v>239.96999999999997</v>
      </c>
    </row>
    <row r="99" spans="1:14" ht="15.75" customHeight="1" x14ac:dyDescent="0.35">
      <c r="A99" s="66" t="s">
        <v>228</v>
      </c>
      <c r="B99" s="67">
        <v>45528</v>
      </c>
      <c r="C99" s="66" t="s">
        <v>144</v>
      </c>
      <c r="D99" s="66" t="s">
        <v>145</v>
      </c>
      <c r="E99" s="66" t="s">
        <v>17</v>
      </c>
      <c r="F99" s="66" t="s">
        <v>18</v>
      </c>
      <c r="G99" s="66" t="s">
        <v>19</v>
      </c>
      <c r="H99" s="66">
        <v>2</v>
      </c>
      <c r="I99" s="66">
        <v>249.99</v>
      </c>
      <c r="J99" s="66" t="s">
        <v>20</v>
      </c>
      <c r="K99" s="66" t="s">
        <v>35</v>
      </c>
      <c r="L99" s="66" t="s">
        <v>36</v>
      </c>
      <c r="M99" s="67">
        <v>44572</v>
      </c>
      <c r="N99" s="68">
        <f t="shared" si="1"/>
        <v>499.98</v>
      </c>
    </row>
    <row r="100" spans="1:14" ht="15.75" customHeight="1" x14ac:dyDescent="0.35">
      <c r="A100" s="63" t="s">
        <v>229</v>
      </c>
      <c r="B100" s="64">
        <v>45532</v>
      </c>
      <c r="C100" s="63" t="s">
        <v>196</v>
      </c>
      <c r="D100" s="63" t="s">
        <v>197</v>
      </c>
      <c r="E100" s="63" t="s">
        <v>80</v>
      </c>
      <c r="F100" s="63" t="s">
        <v>81</v>
      </c>
      <c r="G100" s="63" t="s">
        <v>19</v>
      </c>
      <c r="H100" s="63">
        <v>1</v>
      </c>
      <c r="I100" s="63">
        <v>699.99</v>
      </c>
      <c r="J100" s="63" t="s">
        <v>20</v>
      </c>
      <c r="K100" s="63" t="s">
        <v>21</v>
      </c>
      <c r="L100" s="63" t="s">
        <v>27</v>
      </c>
      <c r="M100" s="64">
        <v>44497</v>
      </c>
      <c r="N100" s="69">
        <f t="shared" si="1"/>
        <v>699.99</v>
      </c>
    </row>
    <row r="101" spans="1:14" ht="15.75" customHeight="1" x14ac:dyDescent="0.35">
      <c r="A101" s="66" t="s">
        <v>230</v>
      </c>
      <c r="B101" s="67">
        <v>45532</v>
      </c>
      <c r="C101" s="66" t="s">
        <v>231</v>
      </c>
      <c r="D101" s="66" t="s">
        <v>232</v>
      </c>
      <c r="E101" s="66" t="s">
        <v>52</v>
      </c>
      <c r="F101" s="66" t="s">
        <v>53</v>
      </c>
      <c r="G101" s="66" t="s">
        <v>19</v>
      </c>
      <c r="H101" s="66">
        <v>3</v>
      </c>
      <c r="I101" s="66">
        <v>149.99</v>
      </c>
      <c r="J101" s="66" t="s">
        <v>20</v>
      </c>
      <c r="K101" s="66" t="s">
        <v>50</v>
      </c>
      <c r="L101" s="66" t="s">
        <v>27</v>
      </c>
      <c r="M101" s="67">
        <v>45212</v>
      </c>
      <c r="N101" s="68">
        <f t="shared" si="1"/>
        <v>449.97</v>
      </c>
    </row>
    <row r="102" spans="1:14" ht="15.75" customHeight="1" x14ac:dyDescent="0.35">
      <c r="A102" s="63" t="s">
        <v>233</v>
      </c>
      <c r="B102" s="64">
        <v>45534</v>
      </c>
      <c r="C102" s="63" t="s">
        <v>234</v>
      </c>
      <c r="D102" s="63" t="s">
        <v>235</v>
      </c>
      <c r="E102" s="63" t="s">
        <v>80</v>
      </c>
      <c r="F102" s="63" t="s">
        <v>81</v>
      </c>
      <c r="G102" s="63" t="s">
        <v>19</v>
      </c>
      <c r="H102" s="63">
        <v>2</v>
      </c>
      <c r="I102" s="63">
        <v>699.99</v>
      </c>
      <c r="J102" s="63" t="s">
        <v>26</v>
      </c>
      <c r="K102" s="63" t="s">
        <v>40</v>
      </c>
      <c r="L102" s="63" t="s">
        <v>27</v>
      </c>
      <c r="M102" s="64">
        <v>44421</v>
      </c>
      <c r="N102" s="69">
        <f t="shared" si="1"/>
        <v>1399.98</v>
      </c>
    </row>
    <row r="103" spans="1:14" ht="15.75" customHeight="1" x14ac:dyDescent="0.35">
      <c r="A103" s="66" t="s">
        <v>236</v>
      </c>
      <c r="B103" s="67">
        <v>45537</v>
      </c>
      <c r="C103" s="66" t="s">
        <v>231</v>
      </c>
      <c r="D103" s="66" t="s">
        <v>232</v>
      </c>
      <c r="E103" s="66" t="s">
        <v>17</v>
      </c>
      <c r="F103" s="66" t="s">
        <v>18</v>
      </c>
      <c r="G103" s="66" t="s">
        <v>19</v>
      </c>
      <c r="H103" s="66">
        <v>1</v>
      </c>
      <c r="I103" s="66">
        <v>249.99</v>
      </c>
      <c r="J103" s="66" t="s">
        <v>26</v>
      </c>
      <c r="K103" s="66" t="s">
        <v>50</v>
      </c>
      <c r="L103" s="66" t="s">
        <v>27</v>
      </c>
      <c r="M103" s="67">
        <v>44685</v>
      </c>
      <c r="N103" s="68">
        <f t="shared" si="1"/>
        <v>249.99</v>
      </c>
    </row>
    <row r="104" spans="1:14" ht="15.75" customHeight="1" x14ac:dyDescent="0.35">
      <c r="A104" s="63" t="s">
        <v>237</v>
      </c>
      <c r="B104" s="64">
        <v>45537</v>
      </c>
      <c r="C104" s="63" t="s">
        <v>15</v>
      </c>
      <c r="D104" s="63" t="s">
        <v>16</v>
      </c>
      <c r="E104" s="63" t="s">
        <v>17</v>
      </c>
      <c r="F104" s="63" t="s">
        <v>18</v>
      </c>
      <c r="G104" s="63" t="s">
        <v>19</v>
      </c>
      <c r="H104" s="63">
        <v>1</v>
      </c>
      <c r="I104" s="63">
        <v>249.99</v>
      </c>
      <c r="J104" s="63" t="s">
        <v>57</v>
      </c>
      <c r="K104" s="63" t="s">
        <v>40</v>
      </c>
      <c r="L104" s="63" t="s">
        <v>27</v>
      </c>
      <c r="M104" s="64">
        <v>45332</v>
      </c>
      <c r="N104" s="69">
        <f t="shared" si="1"/>
        <v>249.99</v>
      </c>
    </row>
    <row r="105" spans="1:14" ht="15.75" customHeight="1" x14ac:dyDescent="0.35">
      <c r="A105" s="66" t="s">
        <v>238</v>
      </c>
      <c r="B105" s="67">
        <v>45538</v>
      </c>
      <c r="C105" s="66" t="s">
        <v>226</v>
      </c>
      <c r="D105" s="66" t="s">
        <v>227</v>
      </c>
      <c r="E105" s="66" t="s">
        <v>80</v>
      </c>
      <c r="F105" s="66" t="s">
        <v>81</v>
      </c>
      <c r="G105" s="66" t="s">
        <v>19</v>
      </c>
      <c r="H105" s="66">
        <v>2</v>
      </c>
      <c r="I105" s="66">
        <v>699.99</v>
      </c>
      <c r="J105" s="66" t="s">
        <v>57</v>
      </c>
      <c r="K105" s="66" t="s">
        <v>21</v>
      </c>
      <c r="L105" s="66" t="s">
        <v>27</v>
      </c>
      <c r="M105" s="67">
        <v>44870</v>
      </c>
      <c r="N105" s="68">
        <f t="shared" si="1"/>
        <v>1399.98</v>
      </c>
    </row>
    <row r="106" spans="1:14" ht="15.75" customHeight="1" x14ac:dyDescent="0.35">
      <c r="A106" s="63" t="s">
        <v>239</v>
      </c>
      <c r="B106" s="64">
        <v>45541</v>
      </c>
      <c r="C106" s="63" t="s">
        <v>138</v>
      </c>
      <c r="D106" s="63" t="s">
        <v>139</v>
      </c>
      <c r="E106" s="63" t="s">
        <v>31</v>
      </c>
      <c r="F106" s="63" t="s">
        <v>32</v>
      </c>
      <c r="G106" s="63" t="s">
        <v>33</v>
      </c>
      <c r="H106" s="63">
        <v>3</v>
      </c>
      <c r="I106" s="63">
        <v>59.99</v>
      </c>
      <c r="J106" s="63" t="s">
        <v>26</v>
      </c>
      <c r="K106" s="63" t="s">
        <v>21</v>
      </c>
      <c r="L106" s="63" t="s">
        <v>27</v>
      </c>
      <c r="M106" s="64">
        <v>44717</v>
      </c>
      <c r="N106" s="69">
        <f t="shared" si="1"/>
        <v>179.97</v>
      </c>
    </row>
    <row r="107" spans="1:14" ht="15.75" customHeight="1" x14ac:dyDescent="0.35">
      <c r="A107" s="66" t="s">
        <v>240</v>
      </c>
      <c r="B107" s="67">
        <v>45544</v>
      </c>
      <c r="C107" s="66" t="s">
        <v>132</v>
      </c>
      <c r="D107" s="66" t="s">
        <v>133</v>
      </c>
      <c r="E107" s="66" t="s">
        <v>31</v>
      </c>
      <c r="F107" s="66" t="s">
        <v>32</v>
      </c>
      <c r="G107" s="66" t="s">
        <v>33</v>
      </c>
      <c r="H107" s="66">
        <v>3</v>
      </c>
      <c r="I107" s="66">
        <v>59.99</v>
      </c>
      <c r="J107" s="66" t="s">
        <v>34</v>
      </c>
      <c r="K107" s="66" t="s">
        <v>63</v>
      </c>
      <c r="L107" s="66" t="s">
        <v>36</v>
      </c>
      <c r="M107" s="67">
        <v>44748</v>
      </c>
      <c r="N107" s="68">
        <f t="shared" si="1"/>
        <v>179.97</v>
      </c>
    </row>
    <row r="108" spans="1:14" ht="15.75" customHeight="1" x14ac:dyDescent="0.35">
      <c r="A108" s="63" t="s">
        <v>241</v>
      </c>
      <c r="B108" s="64">
        <v>45544</v>
      </c>
      <c r="C108" s="63" t="s">
        <v>141</v>
      </c>
      <c r="D108" s="63" t="s">
        <v>142</v>
      </c>
      <c r="E108" s="63" t="s">
        <v>114</v>
      </c>
      <c r="F108" s="63" t="s">
        <v>115</v>
      </c>
      <c r="G108" s="63" t="s">
        <v>33</v>
      </c>
      <c r="H108" s="63">
        <v>4</v>
      </c>
      <c r="I108" s="63">
        <v>79.989999999999995</v>
      </c>
      <c r="J108" s="63" t="s">
        <v>20</v>
      </c>
      <c r="K108" s="63" t="s">
        <v>40</v>
      </c>
      <c r="L108" s="63" t="s">
        <v>22</v>
      </c>
      <c r="M108" s="64">
        <v>44530</v>
      </c>
      <c r="N108" s="69">
        <f t="shared" si="1"/>
        <v>319.95999999999998</v>
      </c>
    </row>
    <row r="109" spans="1:14" ht="15.75" customHeight="1" x14ac:dyDescent="0.35">
      <c r="A109" s="66" t="s">
        <v>242</v>
      </c>
      <c r="B109" s="67">
        <v>45545</v>
      </c>
      <c r="C109" s="66" t="s">
        <v>55</v>
      </c>
      <c r="D109" s="66" t="s">
        <v>56</v>
      </c>
      <c r="E109" s="66" t="s">
        <v>114</v>
      </c>
      <c r="F109" s="66" t="s">
        <v>115</v>
      </c>
      <c r="G109" s="66" t="s">
        <v>33</v>
      </c>
      <c r="H109" s="66">
        <v>1</v>
      </c>
      <c r="I109" s="66">
        <v>79.989999999999995</v>
      </c>
      <c r="J109" s="66" t="s">
        <v>20</v>
      </c>
      <c r="K109" s="66" t="s">
        <v>50</v>
      </c>
      <c r="L109" s="66" t="s">
        <v>22</v>
      </c>
      <c r="M109" s="67">
        <v>44693</v>
      </c>
      <c r="N109" s="68">
        <f t="shared" si="1"/>
        <v>79.989999999999995</v>
      </c>
    </row>
    <row r="110" spans="1:14" ht="15.75" customHeight="1" x14ac:dyDescent="0.35">
      <c r="A110" s="63" t="s">
        <v>243</v>
      </c>
      <c r="B110" s="64">
        <v>45547</v>
      </c>
      <c r="C110" s="63" t="s">
        <v>48</v>
      </c>
      <c r="D110" s="63" t="s">
        <v>49</v>
      </c>
      <c r="E110" s="63" t="s">
        <v>105</v>
      </c>
      <c r="F110" s="63" t="s">
        <v>106</v>
      </c>
      <c r="G110" s="63" t="s">
        <v>46</v>
      </c>
      <c r="H110" s="63">
        <v>3</v>
      </c>
      <c r="I110" s="63">
        <v>299.99</v>
      </c>
      <c r="J110" s="63" t="s">
        <v>26</v>
      </c>
      <c r="K110" s="63" t="s">
        <v>21</v>
      </c>
      <c r="L110" s="63" t="s">
        <v>27</v>
      </c>
      <c r="M110" s="64">
        <v>44494</v>
      </c>
      <c r="N110" s="69">
        <f t="shared" si="1"/>
        <v>899.97</v>
      </c>
    </row>
    <row r="111" spans="1:14" ht="15.75" customHeight="1" x14ac:dyDescent="0.35">
      <c r="A111" s="66" t="s">
        <v>244</v>
      </c>
      <c r="B111" s="67">
        <v>45548</v>
      </c>
      <c r="C111" s="66" t="s">
        <v>38</v>
      </c>
      <c r="D111" s="66" t="s">
        <v>39</v>
      </c>
      <c r="E111" s="66" t="s">
        <v>117</v>
      </c>
      <c r="F111" s="66" t="s">
        <v>118</v>
      </c>
      <c r="G111" s="66" t="s">
        <v>19</v>
      </c>
      <c r="H111" s="66">
        <v>2</v>
      </c>
      <c r="I111" s="66">
        <v>89.99</v>
      </c>
      <c r="J111" s="66" t="s">
        <v>26</v>
      </c>
      <c r="K111" s="66" t="s">
        <v>35</v>
      </c>
      <c r="L111" s="66" t="s">
        <v>27</v>
      </c>
      <c r="M111" s="67">
        <v>44641</v>
      </c>
      <c r="N111" s="68">
        <f t="shared" si="1"/>
        <v>179.98</v>
      </c>
    </row>
    <row r="112" spans="1:14" ht="15.75" customHeight="1" x14ac:dyDescent="0.35">
      <c r="A112" s="63" t="s">
        <v>245</v>
      </c>
      <c r="B112" s="64">
        <v>45550</v>
      </c>
      <c r="C112" s="63" t="s">
        <v>246</v>
      </c>
      <c r="D112" s="63" t="s">
        <v>247</v>
      </c>
      <c r="E112" s="63" t="s">
        <v>52</v>
      </c>
      <c r="F112" s="63" t="s">
        <v>53</v>
      </c>
      <c r="G112" s="63" t="s">
        <v>19</v>
      </c>
      <c r="H112" s="63">
        <v>4</v>
      </c>
      <c r="I112" s="63">
        <v>149.99</v>
      </c>
      <c r="J112" s="63" t="s">
        <v>20</v>
      </c>
      <c r="K112" s="63" t="s">
        <v>40</v>
      </c>
      <c r="L112" s="63" t="s">
        <v>22</v>
      </c>
      <c r="M112" s="64">
        <v>44909</v>
      </c>
      <c r="N112" s="69">
        <f t="shared" si="1"/>
        <v>599.96</v>
      </c>
    </row>
    <row r="113" spans="1:14" ht="15.75" customHeight="1" x14ac:dyDescent="0.35">
      <c r="A113" s="66" t="s">
        <v>248</v>
      </c>
      <c r="B113" s="67">
        <v>45551</v>
      </c>
      <c r="C113" s="66" t="s">
        <v>65</v>
      </c>
      <c r="D113" s="66" t="s">
        <v>66</v>
      </c>
      <c r="E113" s="66" t="s">
        <v>17</v>
      </c>
      <c r="F113" s="66" t="s">
        <v>18</v>
      </c>
      <c r="G113" s="66" t="s">
        <v>19</v>
      </c>
      <c r="H113" s="66">
        <v>2</v>
      </c>
      <c r="I113" s="66">
        <v>249.99</v>
      </c>
      <c r="J113" s="66" t="s">
        <v>34</v>
      </c>
      <c r="K113" s="66" t="s">
        <v>35</v>
      </c>
      <c r="L113" s="66" t="s">
        <v>22</v>
      </c>
      <c r="M113" s="67">
        <v>44993</v>
      </c>
      <c r="N113" s="68">
        <f t="shared" si="1"/>
        <v>499.98</v>
      </c>
    </row>
    <row r="114" spans="1:14" ht="15.75" customHeight="1" x14ac:dyDescent="0.35">
      <c r="A114" s="63" t="s">
        <v>249</v>
      </c>
      <c r="B114" s="64">
        <v>45551</v>
      </c>
      <c r="C114" s="63" t="s">
        <v>154</v>
      </c>
      <c r="D114" s="63" t="s">
        <v>155</v>
      </c>
      <c r="E114" s="63" t="s">
        <v>126</v>
      </c>
      <c r="F114" s="63" t="s">
        <v>127</v>
      </c>
      <c r="G114" s="63" t="s">
        <v>46</v>
      </c>
      <c r="H114" s="63">
        <v>4</v>
      </c>
      <c r="I114" s="63">
        <v>199.99</v>
      </c>
      <c r="J114" s="63" t="s">
        <v>57</v>
      </c>
      <c r="K114" s="63" t="s">
        <v>63</v>
      </c>
      <c r="L114" s="63" t="s">
        <v>22</v>
      </c>
      <c r="M114" s="64">
        <v>44458</v>
      </c>
      <c r="N114" s="69">
        <f t="shared" si="1"/>
        <v>799.96</v>
      </c>
    </row>
    <row r="115" spans="1:14" ht="15.75" customHeight="1" x14ac:dyDescent="0.35">
      <c r="A115" s="66" t="s">
        <v>250</v>
      </c>
      <c r="B115" s="67">
        <v>45554</v>
      </c>
      <c r="C115" s="66" t="s">
        <v>147</v>
      </c>
      <c r="D115" s="66" t="s">
        <v>148</v>
      </c>
      <c r="E115" s="66" t="s">
        <v>117</v>
      </c>
      <c r="F115" s="66" t="s">
        <v>118</v>
      </c>
      <c r="G115" s="66" t="s">
        <v>19</v>
      </c>
      <c r="H115" s="66">
        <v>5</v>
      </c>
      <c r="I115" s="66">
        <v>89.99</v>
      </c>
      <c r="J115" s="66" t="s">
        <v>26</v>
      </c>
      <c r="K115" s="66" t="s">
        <v>63</v>
      </c>
      <c r="L115" s="66" t="s">
        <v>27</v>
      </c>
      <c r="M115" s="67">
        <v>44446</v>
      </c>
      <c r="N115" s="68">
        <f t="shared" si="1"/>
        <v>449.95</v>
      </c>
    </row>
    <row r="116" spans="1:14" ht="15.75" customHeight="1" x14ac:dyDescent="0.35">
      <c r="A116" s="63" t="s">
        <v>251</v>
      </c>
      <c r="B116" s="64">
        <v>45554</v>
      </c>
      <c r="C116" s="63" t="s">
        <v>252</v>
      </c>
      <c r="D116" s="63" t="s">
        <v>253</v>
      </c>
      <c r="E116" s="63" t="s">
        <v>52</v>
      </c>
      <c r="F116" s="63" t="s">
        <v>53</v>
      </c>
      <c r="G116" s="63" t="s">
        <v>19</v>
      </c>
      <c r="H116" s="63">
        <v>1</v>
      </c>
      <c r="I116" s="63">
        <v>149.99</v>
      </c>
      <c r="J116" s="63" t="s">
        <v>34</v>
      </c>
      <c r="K116" s="63" t="s">
        <v>63</v>
      </c>
      <c r="L116" s="63" t="s">
        <v>36</v>
      </c>
      <c r="M116" s="64">
        <v>44482</v>
      </c>
      <c r="N116" s="69">
        <f t="shared" si="1"/>
        <v>149.99</v>
      </c>
    </row>
    <row r="117" spans="1:14" ht="15.75" customHeight="1" x14ac:dyDescent="0.35">
      <c r="A117" s="66" t="s">
        <v>254</v>
      </c>
      <c r="B117" s="67">
        <v>45554</v>
      </c>
      <c r="C117" s="66" t="s">
        <v>72</v>
      </c>
      <c r="D117" s="66" t="s">
        <v>73</v>
      </c>
      <c r="E117" s="66" t="s">
        <v>80</v>
      </c>
      <c r="F117" s="66" t="s">
        <v>81</v>
      </c>
      <c r="G117" s="66" t="s">
        <v>19</v>
      </c>
      <c r="H117" s="66">
        <v>4</v>
      </c>
      <c r="I117" s="66">
        <v>699.99</v>
      </c>
      <c r="J117" s="66" t="s">
        <v>34</v>
      </c>
      <c r="K117" s="66" t="s">
        <v>35</v>
      </c>
      <c r="L117" s="66" t="s">
        <v>22</v>
      </c>
      <c r="M117" s="67">
        <v>44618</v>
      </c>
      <c r="N117" s="68">
        <f t="shared" si="1"/>
        <v>2799.96</v>
      </c>
    </row>
    <row r="118" spans="1:14" ht="15.75" customHeight="1" x14ac:dyDescent="0.35">
      <c r="A118" s="63" t="s">
        <v>255</v>
      </c>
      <c r="B118" s="64">
        <v>45559</v>
      </c>
      <c r="C118" s="63" t="s">
        <v>234</v>
      </c>
      <c r="D118" s="63" t="s">
        <v>235</v>
      </c>
      <c r="E118" s="63" t="s">
        <v>61</v>
      </c>
      <c r="F118" s="63" t="s">
        <v>62</v>
      </c>
      <c r="G118" s="63" t="s">
        <v>19</v>
      </c>
      <c r="H118" s="63">
        <v>3</v>
      </c>
      <c r="I118" s="63">
        <v>899.99</v>
      </c>
      <c r="J118" s="63" t="s">
        <v>26</v>
      </c>
      <c r="K118" s="63" t="s">
        <v>40</v>
      </c>
      <c r="L118" s="63" t="s">
        <v>36</v>
      </c>
      <c r="M118" s="64">
        <v>45157</v>
      </c>
      <c r="N118" s="69">
        <f t="shared" si="1"/>
        <v>2699.9700000000003</v>
      </c>
    </row>
    <row r="119" spans="1:14" ht="15.75" customHeight="1" x14ac:dyDescent="0.35">
      <c r="A119" s="66" t="s">
        <v>256</v>
      </c>
      <c r="B119" s="67">
        <v>45560</v>
      </c>
      <c r="C119" s="66" t="s">
        <v>112</v>
      </c>
      <c r="D119" s="66" t="s">
        <v>113</v>
      </c>
      <c r="E119" s="66" t="s">
        <v>44</v>
      </c>
      <c r="F119" s="66" t="s">
        <v>45</v>
      </c>
      <c r="G119" s="66" t="s">
        <v>46</v>
      </c>
      <c r="H119" s="66">
        <v>3</v>
      </c>
      <c r="I119" s="66">
        <v>149.99</v>
      </c>
      <c r="J119" s="66" t="s">
        <v>34</v>
      </c>
      <c r="K119" s="66" t="s">
        <v>63</v>
      </c>
      <c r="L119" s="66" t="s">
        <v>22</v>
      </c>
      <c r="M119" s="67">
        <v>44886</v>
      </c>
      <c r="N119" s="68">
        <f t="shared" si="1"/>
        <v>449.97</v>
      </c>
    </row>
    <row r="120" spans="1:14" ht="15.75" customHeight="1" x14ac:dyDescent="0.35">
      <c r="A120" s="63" t="s">
        <v>257</v>
      </c>
      <c r="B120" s="64">
        <v>45563</v>
      </c>
      <c r="C120" s="63" t="s">
        <v>99</v>
      </c>
      <c r="D120" s="63" t="s">
        <v>100</v>
      </c>
      <c r="E120" s="63" t="s">
        <v>105</v>
      </c>
      <c r="F120" s="63" t="s">
        <v>106</v>
      </c>
      <c r="G120" s="63" t="s">
        <v>46</v>
      </c>
      <c r="H120" s="63">
        <v>2</v>
      </c>
      <c r="I120" s="63">
        <v>299.99</v>
      </c>
      <c r="J120" s="63" t="s">
        <v>57</v>
      </c>
      <c r="K120" s="63" t="s">
        <v>21</v>
      </c>
      <c r="L120" s="63" t="s">
        <v>22</v>
      </c>
      <c r="M120" s="64">
        <v>44569</v>
      </c>
      <c r="N120" s="69">
        <f t="shared" si="1"/>
        <v>599.98</v>
      </c>
    </row>
    <row r="121" spans="1:14" ht="15.75" customHeight="1" x14ac:dyDescent="0.35">
      <c r="A121" s="66" t="s">
        <v>258</v>
      </c>
      <c r="B121" s="67">
        <v>45564</v>
      </c>
      <c r="C121" s="66" t="s">
        <v>259</v>
      </c>
      <c r="D121" s="66" t="s">
        <v>260</v>
      </c>
      <c r="E121" s="66" t="s">
        <v>126</v>
      </c>
      <c r="F121" s="66" t="s">
        <v>127</v>
      </c>
      <c r="G121" s="66" t="s">
        <v>46</v>
      </c>
      <c r="H121" s="66">
        <v>1</v>
      </c>
      <c r="I121" s="66">
        <v>199.99</v>
      </c>
      <c r="J121" s="66" t="s">
        <v>57</v>
      </c>
      <c r="K121" s="66" t="s">
        <v>63</v>
      </c>
      <c r="L121" s="66" t="s">
        <v>36</v>
      </c>
      <c r="M121" s="67">
        <v>44953</v>
      </c>
      <c r="N121" s="68">
        <f t="shared" si="1"/>
        <v>199.99</v>
      </c>
    </row>
    <row r="122" spans="1:14" ht="15.75" customHeight="1" x14ac:dyDescent="0.35">
      <c r="A122" s="63" t="s">
        <v>261</v>
      </c>
      <c r="B122" s="64">
        <v>45566</v>
      </c>
      <c r="C122" s="63" t="s">
        <v>42</v>
      </c>
      <c r="D122" s="63" t="s">
        <v>43</v>
      </c>
      <c r="E122" s="63" t="s">
        <v>105</v>
      </c>
      <c r="F122" s="63" t="s">
        <v>106</v>
      </c>
      <c r="G122" s="63" t="s">
        <v>46</v>
      </c>
      <c r="H122" s="63">
        <v>4</v>
      </c>
      <c r="I122" s="63">
        <v>299.99</v>
      </c>
      <c r="J122" s="63" t="s">
        <v>20</v>
      </c>
      <c r="K122" s="63" t="s">
        <v>21</v>
      </c>
      <c r="L122" s="63" t="s">
        <v>27</v>
      </c>
      <c r="M122" s="64">
        <v>44460</v>
      </c>
      <c r="N122" s="69">
        <f t="shared" si="1"/>
        <v>1199.96</v>
      </c>
    </row>
    <row r="123" spans="1:14" ht="15.75" customHeight="1" x14ac:dyDescent="0.35">
      <c r="A123" s="66" t="s">
        <v>262</v>
      </c>
      <c r="B123" s="67">
        <v>45572</v>
      </c>
      <c r="C123" s="66" t="s">
        <v>89</v>
      </c>
      <c r="D123" s="66" t="s">
        <v>90</v>
      </c>
      <c r="E123" s="66" t="s">
        <v>31</v>
      </c>
      <c r="F123" s="66" t="s">
        <v>32</v>
      </c>
      <c r="G123" s="66" t="s">
        <v>33</v>
      </c>
      <c r="H123" s="66">
        <v>2</v>
      </c>
      <c r="I123" s="66">
        <v>59.99</v>
      </c>
      <c r="J123" s="66" t="s">
        <v>26</v>
      </c>
      <c r="K123" s="66" t="s">
        <v>21</v>
      </c>
      <c r="L123" s="66" t="s">
        <v>22</v>
      </c>
      <c r="M123" s="67">
        <v>44579</v>
      </c>
      <c r="N123" s="68">
        <f t="shared" si="1"/>
        <v>119.98</v>
      </c>
    </row>
    <row r="124" spans="1:14" ht="15.75" customHeight="1" x14ac:dyDescent="0.35">
      <c r="A124" s="63" t="s">
        <v>263</v>
      </c>
      <c r="B124" s="64">
        <v>45572</v>
      </c>
      <c r="C124" s="63" t="s">
        <v>234</v>
      </c>
      <c r="D124" s="63" t="s">
        <v>235</v>
      </c>
      <c r="E124" s="63" t="s">
        <v>52</v>
      </c>
      <c r="F124" s="63" t="s">
        <v>53</v>
      </c>
      <c r="G124" s="63" t="s">
        <v>19</v>
      </c>
      <c r="H124" s="63">
        <v>4</v>
      </c>
      <c r="I124" s="63">
        <v>149.99</v>
      </c>
      <c r="J124" s="63" t="s">
        <v>26</v>
      </c>
      <c r="K124" s="63" t="s">
        <v>40</v>
      </c>
      <c r="L124" s="63" t="s">
        <v>27</v>
      </c>
      <c r="M124" s="64">
        <v>45076</v>
      </c>
      <c r="N124" s="69">
        <f t="shared" si="1"/>
        <v>599.96</v>
      </c>
    </row>
    <row r="125" spans="1:14" ht="15.75" customHeight="1" x14ac:dyDescent="0.35">
      <c r="A125" s="66" t="s">
        <v>264</v>
      </c>
      <c r="B125" s="67">
        <v>45573</v>
      </c>
      <c r="C125" s="66" t="s">
        <v>211</v>
      </c>
      <c r="D125" s="66" t="s">
        <v>212</v>
      </c>
      <c r="E125" s="66" t="s">
        <v>80</v>
      </c>
      <c r="F125" s="66" t="s">
        <v>81</v>
      </c>
      <c r="G125" s="66" t="s">
        <v>19</v>
      </c>
      <c r="H125" s="66">
        <v>2</v>
      </c>
      <c r="I125" s="66">
        <v>699.99</v>
      </c>
      <c r="J125" s="66" t="s">
        <v>57</v>
      </c>
      <c r="K125" s="66" t="s">
        <v>63</v>
      </c>
      <c r="L125" s="66" t="s">
        <v>27</v>
      </c>
      <c r="M125" s="67">
        <v>45274</v>
      </c>
      <c r="N125" s="68">
        <f t="shared" si="1"/>
        <v>1399.98</v>
      </c>
    </row>
    <row r="126" spans="1:14" ht="15.75" customHeight="1" x14ac:dyDescent="0.35">
      <c r="A126" s="63" t="s">
        <v>265</v>
      </c>
      <c r="B126" s="64">
        <v>45573</v>
      </c>
      <c r="C126" s="63" t="s">
        <v>231</v>
      </c>
      <c r="D126" s="63" t="s">
        <v>232</v>
      </c>
      <c r="E126" s="63" t="s">
        <v>44</v>
      </c>
      <c r="F126" s="63" t="s">
        <v>45</v>
      </c>
      <c r="G126" s="63" t="s">
        <v>46</v>
      </c>
      <c r="H126" s="63">
        <v>3</v>
      </c>
      <c r="I126" s="63">
        <v>149.99</v>
      </c>
      <c r="J126" s="63" t="s">
        <v>26</v>
      </c>
      <c r="K126" s="63" t="s">
        <v>35</v>
      </c>
      <c r="L126" s="63" t="s">
        <v>36</v>
      </c>
      <c r="M126" s="64">
        <v>44940</v>
      </c>
      <c r="N126" s="69">
        <f t="shared" si="1"/>
        <v>449.97</v>
      </c>
    </row>
    <row r="127" spans="1:14" ht="15.75" customHeight="1" x14ac:dyDescent="0.35">
      <c r="A127" s="66" t="s">
        <v>266</v>
      </c>
      <c r="B127" s="67">
        <v>45576</v>
      </c>
      <c r="C127" s="66" t="s">
        <v>147</v>
      </c>
      <c r="D127" s="66" t="s">
        <v>148</v>
      </c>
      <c r="E127" s="66" t="s">
        <v>105</v>
      </c>
      <c r="F127" s="66" t="s">
        <v>106</v>
      </c>
      <c r="G127" s="66" t="s">
        <v>46</v>
      </c>
      <c r="H127" s="66">
        <v>3</v>
      </c>
      <c r="I127" s="66">
        <v>299.99</v>
      </c>
      <c r="J127" s="66" t="s">
        <v>26</v>
      </c>
      <c r="K127" s="66" t="s">
        <v>21</v>
      </c>
      <c r="L127" s="66" t="s">
        <v>36</v>
      </c>
      <c r="M127" s="67">
        <v>45174</v>
      </c>
      <c r="N127" s="68">
        <f t="shared" si="1"/>
        <v>899.97</v>
      </c>
    </row>
    <row r="128" spans="1:14" ht="15.75" customHeight="1" x14ac:dyDescent="0.35">
      <c r="A128" s="63" t="s">
        <v>267</v>
      </c>
      <c r="B128" s="64">
        <v>45579</v>
      </c>
      <c r="C128" s="63" t="s">
        <v>83</v>
      </c>
      <c r="D128" s="63" t="s">
        <v>84</v>
      </c>
      <c r="E128" s="63" t="s">
        <v>61</v>
      </c>
      <c r="F128" s="63" t="s">
        <v>62</v>
      </c>
      <c r="G128" s="63" t="s">
        <v>19</v>
      </c>
      <c r="H128" s="63">
        <v>3</v>
      </c>
      <c r="I128" s="63">
        <v>899.99</v>
      </c>
      <c r="J128" s="63" t="s">
        <v>34</v>
      </c>
      <c r="K128" s="63" t="s">
        <v>50</v>
      </c>
      <c r="L128" s="63" t="s">
        <v>22</v>
      </c>
      <c r="M128" s="64">
        <v>45215</v>
      </c>
      <c r="N128" s="69">
        <f t="shared" si="1"/>
        <v>2699.9700000000003</v>
      </c>
    </row>
    <row r="129" spans="1:14" ht="15.75" customHeight="1" x14ac:dyDescent="0.35">
      <c r="A129" s="66" t="s">
        <v>268</v>
      </c>
      <c r="B129" s="67">
        <v>45581</v>
      </c>
      <c r="C129" s="66" t="s">
        <v>96</v>
      </c>
      <c r="D129" s="66" t="s">
        <v>97</v>
      </c>
      <c r="E129" s="66" t="s">
        <v>80</v>
      </c>
      <c r="F129" s="66" t="s">
        <v>81</v>
      </c>
      <c r="G129" s="66" t="s">
        <v>19</v>
      </c>
      <c r="H129" s="66">
        <v>5</v>
      </c>
      <c r="I129" s="66">
        <v>699.99</v>
      </c>
      <c r="J129" s="66" t="s">
        <v>20</v>
      </c>
      <c r="K129" s="66" t="s">
        <v>63</v>
      </c>
      <c r="L129" s="66" t="s">
        <v>36</v>
      </c>
      <c r="M129" s="67">
        <v>45008</v>
      </c>
      <c r="N129" s="68">
        <f t="shared" si="1"/>
        <v>3499.95</v>
      </c>
    </row>
    <row r="130" spans="1:14" ht="15.75" customHeight="1" x14ac:dyDescent="0.35">
      <c r="A130" s="63" t="s">
        <v>269</v>
      </c>
      <c r="B130" s="64">
        <v>45581</v>
      </c>
      <c r="C130" s="63" t="s">
        <v>171</v>
      </c>
      <c r="D130" s="63" t="s">
        <v>172</v>
      </c>
      <c r="E130" s="63" t="s">
        <v>80</v>
      </c>
      <c r="F130" s="63" t="s">
        <v>81</v>
      </c>
      <c r="G130" s="63" t="s">
        <v>19</v>
      </c>
      <c r="H130" s="63">
        <v>4</v>
      </c>
      <c r="I130" s="63">
        <v>699.99</v>
      </c>
      <c r="J130" s="63" t="s">
        <v>26</v>
      </c>
      <c r="K130" s="63" t="s">
        <v>21</v>
      </c>
      <c r="L130" s="63" t="s">
        <v>22</v>
      </c>
      <c r="M130" s="64">
        <v>45385</v>
      </c>
      <c r="N130" s="69">
        <f t="shared" si="1"/>
        <v>2799.96</v>
      </c>
    </row>
    <row r="131" spans="1:14" ht="15.75" customHeight="1" x14ac:dyDescent="0.35">
      <c r="A131" s="66" t="s">
        <v>270</v>
      </c>
      <c r="B131" s="67">
        <v>45581</v>
      </c>
      <c r="C131" s="66" t="s">
        <v>150</v>
      </c>
      <c r="D131" s="66" t="s">
        <v>151</v>
      </c>
      <c r="E131" s="66" t="s">
        <v>61</v>
      </c>
      <c r="F131" s="66" t="s">
        <v>62</v>
      </c>
      <c r="G131" s="66" t="s">
        <v>19</v>
      </c>
      <c r="H131" s="66">
        <v>1</v>
      </c>
      <c r="I131" s="66">
        <v>899.99</v>
      </c>
      <c r="J131" s="66" t="s">
        <v>26</v>
      </c>
      <c r="K131" s="66" t="s">
        <v>63</v>
      </c>
      <c r="L131" s="66" t="s">
        <v>36</v>
      </c>
      <c r="M131" s="67">
        <v>45369</v>
      </c>
      <c r="N131" s="68">
        <f t="shared" ref="N131:N194" si="2">I131*H131</f>
        <v>899.99</v>
      </c>
    </row>
    <row r="132" spans="1:14" ht="15.75" customHeight="1" x14ac:dyDescent="0.35">
      <c r="A132" s="63" t="s">
        <v>271</v>
      </c>
      <c r="B132" s="64">
        <v>45583</v>
      </c>
      <c r="C132" s="63" t="s">
        <v>226</v>
      </c>
      <c r="D132" s="63" t="s">
        <v>227</v>
      </c>
      <c r="E132" s="63" t="s">
        <v>52</v>
      </c>
      <c r="F132" s="63" t="s">
        <v>53</v>
      </c>
      <c r="G132" s="63" t="s">
        <v>19</v>
      </c>
      <c r="H132" s="63">
        <v>2</v>
      </c>
      <c r="I132" s="63">
        <v>149.99</v>
      </c>
      <c r="J132" s="63" t="s">
        <v>26</v>
      </c>
      <c r="K132" s="63" t="s">
        <v>50</v>
      </c>
      <c r="L132" s="63" t="s">
        <v>22</v>
      </c>
      <c r="M132" s="64">
        <v>44916</v>
      </c>
      <c r="N132" s="69">
        <f t="shared" si="2"/>
        <v>299.98</v>
      </c>
    </row>
    <row r="133" spans="1:14" ht="15.75" customHeight="1" x14ac:dyDescent="0.35">
      <c r="A133" s="66" t="s">
        <v>272</v>
      </c>
      <c r="B133" s="67">
        <v>45586</v>
      </c>
      <c r="C133" s="66" t="s">
        <v>226</v>
      </c>
      <c r="D133" s="66" t="s">
        <v>227</v>
      </c>
      <c r="E133" s="66" t="s">
        <v>117</v>
      </c>
      <c r="F133" s="66" t="s">
        <v>118</v>
      </c>
      <c r="G133" s="66" t="s">
        <v>19</v>
      </c>
      <c r="H133" s="66">
        <v>3</v>
      </c>
      <c r="I133" s="66">
        <v>89.99</v>
      </c>
      <c r="J133" s="66" t="s">
        <v>34</v>
      </c>
      <c r="K133" s="66" t="s">
        <v>21</v>
      </c>
      <c r="L133" s="66" t="s">
        <v>22</v>
      </c>
      <c r="M133" s="67">
        <v>44551</v>
      </c>
      <c r="N133" s="68">
        <f t="shared" si="2"/>
        <v>269.96999999999997</v>
      </c>
    </row>
    <row r="134" spans="1:14" ht="15.75" customHeight="1" x14ac:dyDescent="0.35">
      <c r="A134" s="63" t="s">
        <v>273</v>
      </c>
      <c r="B134" s="64">
        <v>45588</v>
      </c>
      <c r="C134" s="63" t="s">
        <v>38</v>
      </c>
      <c r="D134" s="63" t="s">
        <v>39</v>
      </c>
      <c r="E134" s="63" t="s">
        <v>52</v>
      </c>
      <c r="F134" s="63" t="s">
        <v>53</v>
      </c>
      <c r="G134" s="63" t="s">
        <v>19</v>
      </c>
      <c r="H134" s="63">
        <v>2</v>
      </c>
      <c r="I134" s="63">
        <v>149.99</v>
      </c>
      <c r="J134" s="63" t="s">
        <v>34</v>
      </c>
      <c r="K134" s="63" t="s">
        <v>21</v>
      </c>
      <c r="L134" s="63" t="s">
        <v>22</v>
      </c>
      <c r="M134" s="64">
        <v>44473</v>
      </c>
      <c r="N134" s="69">
        <f t="shared" si="2"/>
        <v>299.98</v>
      </c>
    </row>
    <row r="135" spans="1:14" ht="15.75" customHeight="1" x14ac:dyDescent="0.35">
      <c r="A135" s="66" t="s">
        <v>274</v>
      </c>
      <c r="B135" s="67">
        <v>45588</v>
      </c>
      <c r="C135" s="66" t="s">
        <v>154</v>
      </c>
      <c r="D135" s="66" t="s">
        <v>155</v>
      </c>
      <c r="E135" s="66" t="s">
        <v>80</v>
      </c>
      <c r="F135" s="66" t="s">
        <v>81</v>
      </c>
      <c r="G135" s="66" t="s">
        <v>19</v>
      </c>
      <c r="H135" s="66">
        <v>2</v>
      </c>
      <c r="I135" s="66">
        <v>699.99</v>
      </c>
      <c r="J135" s="66" t="s">
        <v>20</v>
      </c>
      <c r="K135" s="66" t="s">
        <v>21</v>
      </c>
      <c r="L135" s="66" t="s">
        <v>22</v>
      </c>
      <c r="M135" s="67">
        <v>44992</v>
      </c>
      <c r="N135" s="68">
        <f t="shared" si="2"/>
        <v>1399.98</v>
      </c>
    </row>
    <row r="136" spans="1:14" ht="15.75" customHeight="1" x14ac:dyDescent="0.35">
      <c r="A136" s="63" t="s">
        <v>275</v>
      </c>
      <c r="B136" s="64">
        <v>45589</v>
      </c>
      <c r="C136" s="63" t="s">
        <v>158</v>
      </c>
      <c r="D136" s="63" t="s">
        <v>159</v>
      </c>
      <c r="E136" s="63" t="s">
        <v>80</v>
      </c>
      <c r="F136" s="63" t="s">
        <v>81</v>
      </c>
      <c r="G136" s="63" t="s">
        <v>19</v>
      </c>
      <c r="H136" s="63">
        <v>5</v>
      </c>
      <c r="I136" s="63">
        <v>699.99</v>
      </c>
      <c r="J136" s="63" t="s">
        <v>20</v>
      </c>
      <c r="K136" s="63" t="s">
        <v>40</v>
      </c>
      <c r="L136" s="63" t="s">
        <v>27</v>
      </c>
      <c r="M136" s="64">
        <v>44635</v>
      </c>
      <c r="N136" s="69">
        <f t="shared" si="2"/>
        <v>3499.95</v>
      </c>
    </row>
    <row r="137" spans="1:14" ht="15.75" customHeight="1" x14ac:dyDescent="0.35">
      <c r="A137" s="66" t="s">
        <v>276</v>
      </c>
      <c r="B137" s="67">
        <v>45592</v>
      </c>
      <c r="C137" s="66" t="s">
        <v>171</v>
      </c>
      <c r="D137" s="66" t="s">
        <v>172</v>
      </c>
      <c r="E137" s="66" t="s">
        <v>117</v>
      </c>
      <c r="F137" s="66" t="s">
        <v>118</v>
      </c>
      <c r="G137" s="66" t="s">
        <v>19</v>
      </c>
      <c r="H137" s="66">
        <v>3</v>
      </c>
      <c r="I137" s="66">
        <v>89.99</v>
      </c>
      <c r="J137" s="66" t="s">
        <v>26</v>
      </c>
      <c r="K137" s="66" t="s">
        <v>40</v>
      </c>
      <c r="L137" s="66" t="s">
        <v>36</v>
      </c>
      <c r="M137" s="67">
        <v>44615</v>
      </c>
      <c r="N137" s="68">
        <f t="shared" si="2"/>
        <v>269.96999999999997</v>
      </c>
    </row>
    <row r="138" spans="1:14" ht="15.75" customHeight="1" x14ac:dyDescent="0.35">
      <c r="A138" s="63" t="s">
        <v>277</v>
      </c>
      <c r="B138" s="64">
        <v>45597</v>
      </c>
      <c r="C138" s="63" t="s">
        <v>15</v>
      </c>
      <c r="D138" s="63" t="s">
        <v>16</v>
      </c>
      <c r="E138" s="63" t="s">
        <v>17</v>
      </c>
      <c r="F138" s="63" t="s">
        <v>18</v>
      </c>
      <c r="G138" s="63" t="s">
        <v>19</v>
      </c>
      <c r="H138" s="63">
        <v>5</v>
      </c>
      <c r="I138" s="63">
        <v>249.99</v>
      </c>
      <c r="J138" s="63" t="s">
        <v>26</v>
      </c>
      <c r="K138" s="63" t="s">
        <v>35</v>
      </c>
      <c r="L138" s="63" t="s">
        <v>36</v>
      </c>
      <c r="M138" s="64">
        <v>44881</v>
      </c>
      <c r="N138" s="69">
        <f t="shared" si="2"/>
        <v>1249.95</v>
      </c>
    </row>
    <row r="139" spans="1:14" ht="15.75" customHeight="1" x14ac:dyDescent="0.35">
      <c r="A139" s="66" t="s">
        <v>278</v>
      </c>
      <c r="B139" s="67">
        <v>45600</v>
      </c>
      <c r="C139" s="66" t="s">
        <v>65</v>
      </c>
      <c r="D139" s="66" t="s">
        <v>66</v>
      </c>
      <c r="E139" s="66" t="s">
        <v>105</v>
      </c>
      <c r="F139" s="66" t="s">
        <v>106</v>
      </c>
      <c r="G139" s="66" t="s">
        <v>46</v>
      </c>
      <c r="H139" s="66">
        <v>3</v>
      </c>
      <c r="I139" s="66">
        <v>299.99</v>
      </c>
      <c r="J139" s="66" t="s">
        <v>26</v>
      </c>
      <c r="K139" s="66" t="s">
        <v>35</v>
      </c>
      <c r="L139" s="66" t="s">
        <v>36</v>
      </c>
      <c r="M139" s="67">
        <v>44502</v>
      </c>
      <c r="N139" s="68">
        <f t="shared" si="2"/>
        <v>899.97</v>
      </c>
    </row>
    <row r="140" spans="1:14" ht="15.75" customHeight="1" x14ac:dyDescent="0.35">
      <c r="A140" s="63" t="s">
        <v>279</v>
      </c>
      <c r="B140" s="64">
        <v>45603</v>
      </c>
      <c r="C140" s="63" t="s">
        <v>99</v>
      </c>
      <c r="D140" s="63" t="s">
        <v>100</v>
      </c>
      <c r="E140" s="63" t="s">
        <v>117</v>
      </c>
      <c r="F140" s="63" t="s">
        <v>118</v>
      </c>
      <c r="G140" s="63" t="s">
        <v>19</v>
      </c>
      <c r="H140" s="63">
        <v>3</v>
      </c>
      <c r="I140" s="63">
        <v>89.99</v>
      </c>
      <c r="J140" s="63" t="s">
        <v>26</v>
      </c>
      <c r="K140" s="63" t="s">
        <v>40</v>
      </c>
      <c r="L140" s="63" t="s">
        <v>27</v>
      </c>
      <c r="M140" s="64">
        <v>44420</v>
      </c>
      <c r="N140" s="69">
        <f t="shared" si="2"/>
        <v>269.96999999999997</v>
      </c>
    </row>
    <row r="141" spans="1:14" ht="15.75" customHeight="1" x14ac:dyDescent="0.35">
      <c r="A141" s="66" t="s">
        <v>280</v>
      </c>
      <c r="B141" s="67">
        <v>45604</v>
      </c>
      <c r="C141" s="66" t="s">
        <v>89</v>
      </c>
      <c r="D141" s="66" t="s">
        <v>90</v>
      </c>
      <c r="E141" s="66" t="s">
        <v>44</v>
      </c>
      <c r="F141" s="66" t="s">
        <v>45</v>
      </c>
      <c r="G141" s="66" t="s">
        <v>46</v>
      </c>
      <c r="H141" s="66">
        <v>2</v>
      </c>
      <c r="I141" s="66">
        <v>149.99</v>
      </c>
      <c r="J141" s="66" t="s">
        <v>26</v>
      </c>
      <c r="K141" s="66" t="s">
        <v>50</v>
      </c>
      <c r="L141" s="66" t="s">
        <v>27</v>
      </c>
      <c r="M141" s="67">
        <v>44848</v>
      </c>
      <c r="N141" s="68">
        <f t="shared" si="2"/>
        <v>299.98</v>
      </c>
    </row>
    <row r="142" spans="1:14" ht="15.75" customHeight="1" x14ac:dyDescent="0.35">
      <c r="A142" s="63" t="s">
        <v>281</v>
      </c>
      <c r="B142" s="64">
        <v>45605</v>
      </c>
      <c r="C142" s="63" t="s">
        <v>185</v>
      </c>
      <c r="D142" s="63" t="s">
        <v>186</v>
      </c>
      <c r="E142" s="63" t="s">
        <v>17</v>
      </c>
      <c r="F142" s="63" t="s">
        <v>18</v>
      </c>
      <c r="G142" s="63" t="s">
        <v>19</v>
      </c>
      <c r="H142" s="63">
        <v>1</v>
      </c>
      <c r="I142" s="63">
        <v>249.99</v>
      </c>
      <c r="J142" s="63" t="s">
        <v>26</v>
      </c>
      <c r="K142" s="63" t="s">
        <v>40</v>
      </c>
      <c r="L142" s="63" t="s">
        <v>27</v>
      </c>
      <c r="M142" s="64">
        <v>44828</v>
      </c>
      <c r="N142" s="69">
        <f t="shared" si="2"/>
        <v>249.99</v>
      </c>
    </row>
    <row r="143" spans="1:14" ht="15.75" customHeight="1" x14ac:dyDescent="0.35">
      <c r="A143" s="66" t="s">
        <v>282</v>
      </c>
      <c r="B143" s="67">
        <v>45607</v>
      </c>
      <c r="C143" s="66" t="s">
        <v>72</v>
      </c>
      <c r="D143" s="66" t="s">
        <v>73</v>
      </c>
      <c r="E143" s="66" t="s">
        <v>52</v>
      </c>
      <c r="F143" s="66" t="s">
        <v>53</v>
      </c>
      <c r="G143" s="66" t="s">
        <v>19</v>
      </c>
      <c r="H143" s="66">
        <v>3</v>
      </c>
      <c r="I143" s="66">
        <v>149.99</v>
      </c>
      <c r="J143" s="66" t="s">
        <v>20</v>
      </c>
      <c r="K143" s="66" t="s">
        <v>40</v>
      </c>
      <c r="L143" s="66" t="s">
        <v>22</v>
      </c>
      <c r="M143" s="67">
        <v>44769</v>
      </c>
      <c r="N143" s="68">
        <f t="shared" si="2"/>
        <v>449.97</v>
      </c>
    </row>
    <row r="144" spans="1:14" ht="15.75" customHeight="1" x14ac:dyDescent="0.35">
      <c r="A144" s="63" t="s">
        <v>283</v>
      </c>
      <c r="B144" s="64">
        <v>45607</v>
      </c>
      <c r="C144" s="63" t="s">
        <v>15</v>
      </c>
      <c r="D144" s="63" t="s">
        <v>16</v>
      </c>
      <c r="E144" s="63" t="s">
        <v>31</v>
      </c>
      <c r="F144" s="63" t="s">
        <v>32</v>
      </c>
      <c r="G144" s="63" t="s">
        <v>33</v>
      </c>
      <c r="H144" s="63">
        <v>5</v>
      </c>
      <c r="I144" s="63">
        <v>59.99</v>
      </c>
      <c r="J144" s="63" t="s">
        <v>34</v>
      </c>
      <c r="K144" s="63" t="s">
        <v>50</v>
      </c>
      <c r="L144" s="63" t="s">
        <v>27</v>
      </c>
      <c r="M144" s="64">
        <v>44694</v>
      </c>
      <c r="N144" s="69">
        <f t="shared" si="2"/>
        <v>299.95</v>
      </c>
    </row>
    <row r="145" spans="1:14" ht="15.75" customHeight="1" x14ac:dyDescent="0.35">
      <c r="A145" s="66" t="s">
        <v>284</v>
      </c>
      <c r="B145" s="67">
        <v>45607</v>
      </c>
      <c r="C145" s="66" t="s">
        <v>99</v>
      </c>
      <c r="D145" s="66" t="s">
        <v>100</v>
      </c>
      <c r="E145" s="66" t="s">
        <v>17</v>
      </c>
      <c r="F145" s="66" t="s">
        <v>18</v>
      </c>
      <c r="G145" s="66" t="s">
        <v>19</v>
      </c>
      <c r="H145" s="66">
        <v>4</v>
      </c>
      <c r="I145" s="66">
        <v>249.99</v>
      </c>
      <c r="J145" s="66" t="s">
        <v>26</v>
      </c>
      <c r="K145" s="66" t="s">
        <v>50</v>
      </c>
      <c r="L145" s="66" t="s">
        <v>36</v>
      </c>
      <c r="M145" s="67">
        <v>44659</v>
      </c>
      <c r="N145" s="68">
        <f t="shared" si="2"/>
        <v>999.96</v>
      </c>
    </row>
    <row r="146" spans="1:14" ht="15.75" customHeight="1" x14ac:dyDescent="0.35">
      <c r="A146" s="63" t="s">
        <v>285</v>
      </c>
      <c r="B146" s="64">
        <v>45608</v>
      </c>
      <c r="C146" s="63" t="s">
        <v>154</v>
      </c>
      <c r="D146" s="63" t="s">
        <v>155</v>
      </c>
      <c r="E146" s="63" t="s">
        <v>44</v>
      </c>
      <c r="F146" s="63" t="s">
        <v>45</v>
      </c>
      <c r="G146" s="63" t="s">
        <v>46</v>
      </c>
      <c r="H146" s="63">
        <v>5</v>
      </c>
      <c r="I146" s="63">
        <v>149.99</v>
      </c>
      <c r="J146" s="63" t="s">
        <v>34</v>
      </c>
      <c r="K146" s="63" t="s">
        <v>21</v>
      </c>
      <c r="L146" s="63" t="s">
        <v>22</v>
      </c>
      <c r="M146" s="64">
        <v>44901</v>
      </c>
      <c r="N146" s="69">
        <f t="shared" si="2"/>
        <v>749.95</v>
      </c>
    </row>
    <row r="147" spans="1:14" ht="15.75" customHeight="1" x14ac:dyDescent="0.35">
      <c r="A147" s="66" t="s">
        <v>286</v>
      </c>
      <c r="B147" s="67">
        <v>45608</v>
      </c>
      <c r="C147" s="66" t="s">
        <v>83</v>
      </c>
      <c r="D147" s="66" t="s">
        <v>84</v>
      </c>
      <c r="E147" s="66" t="s">
        <v>31</v>
      </c>
      <c r="F147" s="66" t="s">
        <v>32</v>
      </c>
      <c r="G147" s="66" t="s">
        <v>33</v>
      </c>
      <c r="H147" s="66">
        <v>3</v>
      </c>
      <c r="I147" s="66">
        <v>59.99</v>
      </c>
      <c r="J147" s="66" t="s">
        <v>57</v>
      </c>
      <c r="K147" s="66" t="s">
        <v>35</v>
      </c>
      <c r="L147" s="66" t="s">
        <v>36</v>
      </c>
      <c r="M147" s="67">
        <v>45260</v>
      </c>
      <c r="N147" s="68">
        <f t="shared" si="2"/>
        <v>179.97</v>
      </c>
    </row>
    <row r="148" spans="1:14" ht="15.75" customHeight="1" x14ac:dyDescent="0.35">
      <c r="A148" s="63" t="s">
        <v>287</v>
      </c>
      <c r="B148" s="64">
        <v>45613</v>
      </c>
      <c r="C148" s="63" t="s">
        <v>234</v>
      </c>
      <c r="D148" s="63" t="s">
        <v>235</v>
      </c>
      <c r="E148" s="63" t="s">
        <v>44</v>
      </c>
      <c r="F148" s="63" t="s">
        <v>45</v>
      </c>
      <c r="G148" s="63" t="s">
        <v>46</v>
      </c>
      <c r="H148" s="63">
        <v>5</v>
      </c>
      <c r="I148" s="63">
        <v>149.99</v>
      </c>
      <c r="J148" s="63" t="s">
        <v>20</v>
      </c>
      <c r="K148" s="63" t="s">
        <v>40</v>
      </c>
      <c r="L148" s="63" t="s">
        <v>22</v>
      </c>
      <c r="M148" s="64">
        <v>44869</v>
      </c>
      <c r="N148" s="69">
        <f t="shared" si="2"/>
        <v>749.95</v>
      </c>
    </row>
    <row r="149" spans="1:14" ht="15.75" customHeight="1" x14ac:dyDescent="0.35">
      <c r="A149" s="66" t="s">
        <v>288</v>
      </c>
      <c r="B149" s="67">
        <v>45613</v>
      </c>
      <c r="C149" s="66" t="s">
        <v>86</v>
      </c>
      <c r="D149" s="66" t="s">
        <v>87</v>
      </c>
      <c r="E149" s="66" t="s">
        <v>80</v>
      </c>
      <c r="F149" s="66" t="s">
        <v>81</v>
      </c>
      <c r="G149" s="66" t="s">
        <v>19</v>
      </c>
      <c r="H149" s="66">
        <v>2</v>
      </c>
      <c r="I149" s="66">
        <v>699.99</v>
      </c>
      <c r="J149" s="66" t="s">
        <v>34</v>
      </c>
      <c r="K149" s="66" t="s">
        <v>50</v>
      </c>
      <c r="L149" s="66" t="s">
        <v>36</v>
      </c>
      <c r="M149" s="67">
        <v>44770</v>
      </c>
      <c r="N149" s="68">
        <f t="shared" si="2"/>
        <v>1399.98</v>
      </c>
    </row>
    <row r="150" spans="1:14" ht="15.75" customHeight="1" x14ac:dyDescent="0.35">
      <c r="A150" s="63" t="s">
        <v>289</v>
      </c>
      <c r="B150" s="64">
        <v>45617</v>
      </c>
      <c r="C150" s="63" t="s">
        <v>123</v>
      </c>
      <c r="D150" s="63" t="s">
        <v>124</v>
      </c>
      <c r="E150" s="63" t="s">
        <v>126</v>
      </c>
      <c r="F150" s="63" t="s">
        <v>127</v>
      </c>
      <c r="G150" s="63" t="s">
        <v>46</v>
      </c>
      <c r="H150" s="63">
        <v>4</v>
      </c>
      <c r="I150" s="63">
        <v>199.99</v>
      </c>
      <c r="J150" s="63" t="s">
        <v>57</v>
      </c>
      <c r="K150" s="63" t="s">
        <v>21</v>
      </c>
      <c r="L150" s="63" t="s">
        <v>27</v>
      </c>
      <c r="M150" s="64">
        <v>44427</v>
      </c>
      <c r="N150" s="69">
        <f t="shared" si="2"/>
        <v>799.96</v>
      </c>
    </row>
    <row r="151" spans="1:14" ht="15.75" customHeight="1" x14ac:dyDescent="0.35">
      <c r="A151" s="66" t="s">
        <v>290</v>
      </c>
      <c r="B151" s="67">
        <v>45619</v>
      </c>
      <c r="C151" s="66" t="s">
        <v>192</v>
      </c>
      <c r="D151" s="66" t="s">
        <v>193</v>
      </c>
      <c r="E151" s="66" t="s">
        <v>31</v>
      </c>
      <c r="F151" s="66" t="s">
        <v>32</v>
      </c>
      <c r="G151" s="66" t="s">
        <v>33</v>
      </c>
      <c r="H151" s="66">
        <v>1</v>
      </c>
      <c r="I151" s="66">
        <v>59.99</v>
      </c>
      <c r="J151" s="66" t="s">
        <v>57</v>
      </c>
      <c r="K151" s="66" t="s">
        <v>50</v>
      </c>
      <c r="L151" s="66" t="s">
        <v>36</v>
      </c>
      <c r="M151" s="67">
        <v>44560</v>
      </c>
      <c r="N151" s="68">
        <f t="shared" si="2"/>
        <v>59.99</v>
      </c>
    </row>
    <row r="152" spans="1:14" ht="15.75" customHeight="1" x14ac:dyDescent="0.35">
      <c r="A152" s="63" t="s">
        <v>291</v>
      </c>
      <c r="B152" s="64">
        <v>45619</v>
      </c>
      <c r="C152" s="63" t="s">
        <v>154</v>
      </c>
      <c r="D152" s="63" t="s">
        <v>155</v>
      </c>
      <c r="E152" s="63" t="s">
        <v>80</v>
      </c>
      <c r="F152" s="63" t="s">
        <v>81</v>
      </c>
      <c r="G152" s="63" t="s">
        <v>19</v>
      </c>
      <c r="H152" s="63">
        <v>3</v>
      </c>
      <c r="I152" s="63">
        <v>699.99</v>
      </c>
      <c r="J152" s="63" t="s">
        <v>34</v>
      </c>
      <c r="K152" s="63" t="s">
        <v>50</v>
      </c>
      <c r="L152" s="63" t="s">
        <v>36</v>
      </c>
      <c r="M152" s="64">
        <v>44583</v>
      </c>
      <c r="N152" s="69">
        <f t="shared" si="2"/>
        <v>2099.9700000000003</v>
      </c>
    </row>
    <row r="153" spans="1:14" ht="15.75" customHeight="1" x14ac:dyDescent="0.35">
      <c r="A153" s="66" t="s">
        <v>292</v>
      </c>
      <c r="B153" s="67">
        <v>45622</v>
      </c>
      <c r="C153" s="66" t="s">
        <v>293</v>
      </c>
      <c r="D153" s="66" t="s">
        <v>294</v>
      </c>
      <c r="E153" s="66" t="s">
        <v>17</v>
      </c>
      <c r="F153" s="66" t="s">
        <v>18</v>
      </c>
      <c r="G153" s="66" t="s">
        <v>19</v>
      </c>
      <c r="H153" s="66">
        <v>5</v>
      </c>
      <c r="I153" s="66">
        <v>249.99</v>
      </c>
      <c r="J153" s="66" t="s">
        <v>26</v>
      </c>
      <c r="K153" s="66" t="s">
        <v>40</v>
      </c>
      <c r="L153" s="66" t="s">
        <v>22</v>
      </c>
      <c r="M153" s="67">
        <v>44873</v>
      </c>
      <c r="N153" s="68">
        <f t="shared" si="2"/>
        <v>1249.95</v>
      </c>
    </row>
    <row r="154" spans="1:14" ht="15.75" customHeight="1" x14ac:dyDescent="0.35">
      <c r="A154" s="63" t="s">
        <v>295</v>
      </c>
      <c r="B154" s="64">
        <v>45623</v>
      </c>
      <c r="C154" s="63" t="s">
        <v>112</v>
      </c>
      <c r="D154" s="63" t="s">
        <v>113</v>
      </c>
      <c r="E154" s="63" t="s">
        <v>44</v>
      </c>
      <c r="F154" s="63" t="s">
        <v>45</v>
      </c>
      <c r="G154" s="63" t="s">
        <v>46</v>
      </c>
      <c r="H154" s="63">
        <v>2</v>
      </c>
      <c r="I154" s="63">
        <v>149.99</v>
      </c>
      <c r="J154" s="63" t="s">
        <v>20</v>
      </c>
      <c r="K154" s="63" t="s">
        <v>35</v>
      </c>
      <c r="L154" s="63" t="s">
        <v>36</v>
      </c>
      <c r="M154" s="64">
        <v>45101</v>
      </c>
      <c r="N154" s="69">
        <f t="shared" si="2"/>
        <v>299.98</v>
      </c>
    </row>
    <row r="155" spans="1:14" ht="15.75" customHeight="1" x14ac:dyDescent="0.35">
      <c r="A155" s="66" t="s">
        <v>296</v>
      </c>
      <c r="B155" s="67">
        <v>45627</v>
      </c>
      <c r="C155" s="66" t="s">
        <v>29</v>
      </c>
      <c r="D155" s="66" t="s">
        <v>30</v>
      </c>
      <c r="E155" s="66" t="s">
        <v>105</v>
      </c>
      <c r="F155" s="66" t="s">
        <v>106</v>
      </c>
      <c r="G155" s="66" t="s">
        <v>46</v>
      </c>
      <c r="H155" s="66">
        <v>3</v>
      </c>
      <c r="I155" s="66">
        <v>299.99</v>
      </c>
      <c r="J155" s="66" t="s">
        <v>20</v>
      </c>
      <c r="K155" s="66" t="s">
        <v>35</v>
      </c>
      <c r="L155" s="66" t="s">
        <v>27</v>
      </c>
      <c r="M155" s="67">
        <v>44659</v>
      </c>
      <c r="N155" s="68">
        <f t="shared" si="2"/>
        <v>899.97</v>
      </c>
    </row>
    <row r="156" spans="1:14" ht="15.75" customHeight="1" x14ac:dyDescent="0.35">
      <c r="A156" s="63" t="s">
        <v>297</v>
      </c>
      <c r="B156" s="64">
        <v>45627</v>
      </c>
      <c r="C156" s="63" t="s">
        <v>55</v>
      </c>
      <c r="D156" s="63" t="s">
        <v>56</v>
      </c>
      <c r="E156" s="63" t="s">
        <v>17</v>
      </c>
      <c r="F156" s="63" t="s">
        <v>18</v>
      </c>
      <c r="G156" s="63" t="s">
        <v>19</v>
      </c>
      <c r="H156" s="63">
        <v>5</v>
      </c>
      <c r="I156" s="63">
        <v>249.99</v>
      </c>
      <c r="J156" s="63" t="s">
        <v>20</v>
      </c>
      <c r="K156" s="63" t="s">
        <v>21</v>
      </c>
      <c r="L156" s="63" t="s">
        <v>27</v>
      </c>
      <c r="M156" s="64">
        <v>44485</v>
      </c>
      <c r="N156" s="69">
        <f t="shared" si="2"/>
        <v>1249.95</v>
      </c>
    </row>
    <row r="157" spans="1:14" ht="15.75" customHeight="1" x14ac:dyDescent="0.35">
      <c r="A157" s="66" t="s">
        <v>298</v>
      </c>
      <c r="B157" s="67">
        <v>45627</v>
      </c>
      <c r="C157" s="66" t="s">
        <v>24</v>
      </c>
      <c r="D157" s="66" t="s">
        <v>25</v>
      </c>
      <c r="E157" s="66" t="s">
        <v>52</v>
      </c>
      <c r="F157" s="66" t="s">
        <v>53</v>
      </c>
      <c r="G157" s="66" t="s">
        <v>19</v>
      </c>
      <c r="H157" s="66">
        <v>2</v>
      </c>
      <c r="I157" s="66">
        <v>149.99</v>
      </c>
      <c r="J157" s="66" t="s">
        <v>20</v>
      </c>
      <c r="K157" s="66" t="s">
        <v>35</v>
      </c>
      <c r="L157" s="66" t="s">
        <v>27</v>
      </c>
      <c r="M157" s="67">
        <v>44475</v>
      </c>
      <c r="N157" s="68">
        <f t="shared" si="2"/>
        <v>299.98</v>
      </c>
    </row>
    <row r="158" spans="1:14" ht="15.75" customHeight="1" x14ac:dyDescent="0.35">
      <c r="A158" s="63" t="s">
        <v>299</v>
      </c>
      <c r="B158" s="64">
        <v>45627</v>
      </c>
      <c r="C158" s="63" t="s">
        <v>86</v>
      </c>
      <c r="D158" s="63" t="s">
        <v>87</v>
      </c>
      <c r="E158" s="63" t="s">
        <v>80</v>
      </c>
      <c r="F158" s="63" t="s">
        <v>81</v>
      </c>
      <c r="G158" s="63" t="s">
        <v>19</v>
      </c>
      <c r="H158" s="63">
        <v>5</v>
      </c>
      <c r="I158" s="63">
        <v>699.99</v>
      </c>
      <c r="J158" s="63" t="s">
        <v>57</v>
      </c>
      <c r="K158" s="63" t="s">
        <v>50</v>
      </c>
      <c r="L158" s="63" t="s">
        <v>36</v>
      </c>
      <c r="M158" s="64">
        <v>44944</v>
      </c>
      <c r="N158" s="69">
        <f t="shared" si="2"/>
        <v>3499.95</v>
      </c>
    </row>
    <row r="159" spans="1:14" ht="15.75" customHeight="1" x14ac:dyDescent="0.35">
      <c r="A159" s="66" t="s">
        <v>300</v>
      </c>
      <c r="B159" s="67">
        <v>45629</v>
      </c>
      <c r="C159" s="66" t="s">
        <v>252</v>
      </c>
      <c r="D159" s="66" t="s">
        <v>253</v>
      </c>
      <c r="E159" s="66" t="s">
        <v>17</v>
      </c>
      <c r="F159" s="66" t="s">
        <v>18</v>
      </c>
      <c r="G159" s="66" t="s">
        <v>19</v>
      </c>
      <c r="H159" s="66">
        <v>4</v>
      </c>
      <c r="I159" s="66">
        <v>249.99</v>
      </c>
      <c r="J159" s="66" t="s">
        <v>34</v>
      </c>
      <c r="K159" s="66" t="s">
        <v>63</v>
      </c>
      <c r="L159" s="66" t="s">
        <v>27</v>
      </c>
      <c r="M159" s="67">
        <v>45098</v>
      </c>
      <c r="N159" s="68">
        <f t="shared" si="2"/>
        <v>999.96</v>
      </c>
    </row>
    <row r="160" spans="1:14" ht="15.75" customHeight="1" x14ac:dyDescent="0.35">
      <c r="A160" s="63" t="s">
        <v>301</v>
      </c>
      <c r="B160" s="64">
        <v>45630</v>
      </c>
      <c r="C160" s="63" t="s">
        <v>48</v>
      </c>
      <c r="D160" s="63" t="s">
        <v>49</v>
      </c>
      <c r="E160" s="63" t="s">
        <v>80</v>
      </c>
      <c r="F160" s="63" t="s">
        <v>81</v>
      </c>
      <c r="G160" s="63" t="s">
        <v>19</v>
      </c>
      <c r="H160" s="63">
        <v>4</v>
      </c>
      <c r="I160" s="63">
        <v>699.99</v>
      </c>
      <c r="J160" s="63" t="s">
        <v>26</v>
      </c>
      <c r="K160" s="63" t="s">
        <v>40</v>
      </c>
      <c r="L160" s="63" t="s">
        <v>27</v>
      </c>
      <c r="M160" s="64">
        <v>44703</v>
      </c>
      <c r="N160" s="69">
        <f t="shared" si="2"/>
        <v>2799.96</v>
      </c>
    </row>
    <row r="161" spans="1:14" ht="15.75" customHeight="1" x14ac:dyDescent="0.35">
      <c r="A161" s="66" t="s">
        <v>302</v>
      </c>
      <c r="B161" s="67">
        <v>45635</v>
      </c>
      <c r="C161" s="66" t="s">
        <v>108</v>
      </c>
      <c r="D161" s="66" t="s">
        <v>109</v>
      </c>
      <c r="E161" s="66" t="s">
        <v>17</v>
      </c>
      <c r="F161" s="66" t="s">
        <v>18</v>
      </c>
      <c r="G161" s="66" t="s">
        <v>19</v>
      </c>
      <c r="H161" s="66">
        <v>2</v>
      </c>
      <c r="I161" s="66">
        <v>249.99</v>
      </c>
      <c r="J161" s="66" t="s">
        <v>26</v>
      </c>
      <c r="K161" s="66" t="s">
        <v>21</v>
      </c>
      <c r="L161" s="66" t="s">
        <v>27</v>
      </c>
      <c r="M161" s="67">
        <v>44396</v>
      </c>
      <c r="N161" s="68">
        <f t="shared" si="2"/>
        <v>499.98</v>
      </c>
    </row>
    <row r="162" spans="1:14" ht="15.75" customHeight="1" x14ac:dyDescent="0.35">
      <c r="A162" s="63" t="s">
        <v>303</v>
      </c>
      <c r="B162" s="64">
        <v>45635</v>
      </c>
      <c r="C162" s="63" t="s">
        <v>304</v>
      </c>
      <c r="D162" s="63" t="s">
        <v>305</v>
      </c>
      <c r="E162" s="63" t="s">
        <v>31</v>
      </c>
      <c r="F162" s="63" t="s">
        <v>32</v>
      </c>
      <c r="G162" s="63" t="s">
        <v>33</v>
      </c>
      <c r="H162" s="63">
        <v>3</v>
      </c>
      <c r="I162" s="63">
        <v>59.99</v>
      </c>
      <c r="J162" s="63" t="s">
        <v>20</v>
      </c>
      <c r="K162" s="63" t="s">
        <v>21</v>
      </c>
      <c r="L162" s="63" t="s">
        <v>27</v>
      </c>
      <c r="M162" s="64">
        <v>45052</v>
      </c>
      <c r="N162" s="69">
        <f t="shared" si="2"/>
        <v>179.97</v>
      </c>
    </row>
    <row r="163" spans="1:14" ht="15.75" customHeight="1" x14ac:dyDescent="0.35">
      <c r="A163" s="66" t="s">
        <v>306</v>
      </c>
      <c r="B163" s="67">
        <v>45635</v>
      </c>
      <c r="C163" s="66" t="s">
        <v>141</v>
      </c>
      <c r="D163" s="66" t="s">
        <v>142</v>
      </c>
      <c r="E163" s="66" t="s">
        <v>114</v>
      </c>
      <c r="F163" s="66" t="s">
        <v>115</v>
      </c>
      <c r="G163" s="66" t="s">
        <v>33</v>
      </c>
      <c r="H163" s="66">
        <v>4</v>
      </c>
      <c r="I163" s="66">
        <v>79.989999999999995</v>
      </c>
      <c r="J163" s="66" t="s">
        <v>57</v>
      </c>
      <c r="K163" s="66" t="s">
        <v>63</v>
      </c>
      <c r="L163" s="66" t="s">
        <v>36</v>
      </c>
      <c r="M163" s="67">
        <v>44921</v>
      </c>
      <c r="N163" s="68">
        <f t="shared" si="2"/>
        <v>319.95999999999998</v>
      </c>
    </row>
    <row r="164" spans="1:14" ht="15.75" customHeight="1" x14ac:dyDescent="0.35">
      <c r="A164" s="63" t="s">
        <v>307</v>
      </c>
      <c r="B164" s="64">
        <v>45636</v>
      </c>
      <c r="C164" s="63" t="s">
        <v>120</v>
      </c>
      <c r="D164" s="63" t="s">
        <v>121</v>
      </c>
      <c r="E164" s="63" t="s">
        <v>114</v>
      </c>
      <c r="F164" s="63" t="s">
        <v>115</v>
      </c>
      <c r="G164" s="63" t="s">
        <v>33</v>
      </c>
      <c r="H164" s="63">
        <v>3</v>
      </c>
      <c r="I164" s="63">
        <v>79.989999999999995</v>
      </c>
      <c r="J164" s="63" t="s">
        <v>57</v>
      </c>
      <c r="K164" s="63" t="s">
        <v>63</v>
      </c>
      <c r="L164" s="63" t="s">
        <v>36</v>
      </c>
      <c r="M164" s="64">
        <v>44779</v>
      </c>
      <c r="N164" s="69">
        <f t="shared" si="2"/>
        <v>239.96999999999997</v>
      </c>
    </row>
    <row r="165" spans="1:14" ht="15.75" customHeight="1" x14ac:dyDescent="0.35">
      <c r="A165" s="66" t="s">
        <v>308</v>
      </c>
      <c r="B165" s="67">
        <v>45638</v>
      </c>
      <c r="C165" s="66" t="s">
        <v>72</v>
      </c>
      <c r="D165" s="66" t="s">
        <v>73</v>
      </c>
      <c r="E165" s="66" t="s">
        <v>61</v>
      </c>
      <c r="F165" s="66" t="s">
        <v>62</v>
      </c>
      <c r="G165" s="66" t="s">
        <v>19</v>
      </c>
      <c r="H165" s="66">
        <v>2</v>
      </c>
      <c r="I165" s="66">
        <v>899.99</v>
      </c>
      <c r="J165" s="66" t="s">
        <v>20</v>
      </c>
      <c r="K165" s="66" t="s">
        <v>40</v>
      </c>
      <c r="L165" s="66" t="s">
        <v>22</v>
      </c>
      <c r="M165" s="67">
        <v>44406</v>
      </c>
      <c r="N165" s="68">
        <f t="shared" si="2"/>
        <v>1799.98</v>
      </c>
    </row>
    <row r="166" spans="1:14" ht="15.75" customHeight="1" x14ac:dyDescent="0.35">
      <c r="A166" s="63" t="s">
        <v>309</v>
      </c>
      <c r="B166" s="64">
        <v>45641</v>
      </c>
      <c r="C166" s="63" t="s">
        <v>182</v>
      </c>
      <c r="D166" s="63" t="s">
        <v>183</v>
      </c>
      <c r="E166" s="63" t="s">
        <v>44</v>
      </c>
      <c r="F166" s="63" t="s">
        <v>45</v>
      </c>
      <c r="G166" s="63" t="s">
        <v>46</v>
      </c>
      <c r="H166" s="63">
        <v>1</v>
      </c>
      <c r="I166" s="63">
        <v>149.99</v>
      </c>
      <c r="J166" s="63" t="s">
        <v>57</v>
      </c>
      <c r="K166" s="63" t="s">
        <v>63</v>
      </c>
      <c r="L166" s="63" t="s">
        <v>36</v>
      </c>
      <c r="M166" s="64">
        <v>45200</v>
      </c>
      <c r="N166" s="69">
        <f t="shared" si="2"/>
        <v>149.99</v>
      </c>
    </row>
    <row r="167" spans="1:14" ht="15.75" customHeight="1" x14ac:dyDescent="0.35">
      <c r="A167" s="66" t="s">
        <v>310</v>
      </c>
      <c r="B167" s="67">
        <v>45641</v>
      </c>
      <c r="C167" s="66" t="s">
        <v>138</v>
      </c>
      <c r="D167" s="66" t="s">
        <v>139</v>
      </c>
      <c r="E167" s="66" t="s">
        <v>105</v>
      </c>
      <c r="F167" s="66" t="s">
        <v>106</v>
      </c>
      <c r="G167" s="66" t="s">
        <v>46</v>
      </c>
      <c r="H167" s="66">
        <v>2</v>
      </c>
      <c r="I167" s="66">
        <v>299.99</v>
      </c>
      <c r="J167" s="66" t="s">
        <v>20</v>
      </c>
      <c r="K167" s="66" t="s">
        <v>63</v>
      </c>
      <c r="L167" s="66" t="s">
        <v>27</v>
      </c>
      <c r="M167" s="67">
        <v>44724</v>
      </c>
      <c r="N167" s="68">
        <f t="shared" si="2"/>
        <v>599.98</v>
      </c>
    </row>
    <row r="168" spans="1:14" ht="15.75" customHeight="1" x14ac:dyDescent="0.35">
      <c r="A168" s="63" t="s">
        <v>311</v>
      </c>
      <c r="B168" s="64">
        <v>45644</v>
      </c>
      <c r="C168" s="63" t="s">
        <v>132</v>
      </c>
      <c r="D168" s="63" t="s">
        <v>133</v>
      </c>
      <c r="E168" s="63" t="s">
        <v>31</v>
      </c>
      <c r="F168" s="63" t="s">
        <v>32</v>
      </c>
      <c r="G168" s="63" t="s">
        <v>33</v>
      </c>
      <c r="H168" s="63">
        <v>2</v>
      </c>
      <c r="I168" s="63">
        <v>59.99</v>
      </c>
      <c r="J168" s="63" t="s">
        <v>20</v>
      </c>
      <c r="K168" s="63" t="s">
        <v>50</v>
      </c>
      <c r="L168" s="63" t="s">
        <v>22</v>
      </c>
      <c r="M168" s="64">
        <v>45191</v>
      </c>
      <c r="N168" s="69">
        <f t="shared" si="2"/>
        <v>119.98</v>
      </c>
    </row>
    <row r="169" spans="1:14" ht="15.75" customHeight="1" x14ac:dyDescent="0.35">
      <c r="A169" s="66" t="s">
        <v>312</v>
      </c>
      <c r="B169" s="67">
        <v>45645</v>
      </c>
      <c r="C169" s="66" t="s">
        <v>182</v>
      </c>
      <c r="D169" s="66" t="s">
        <v>183</v>
      </c>
      <c r="E169" s="66" t="s">
        <v>117</v>
      </c>
      <c r="F169" s="66" t="s">
        <v>118</v>
      </c>
      <c r="G169" s="66" t="s">
        <v>19</v>
      </c>
      <c r="H169" s="66">
        <v>1</v>
      </c>
      <c r="I169" s="66">
        <v>89.99</v>
      </c>
      <c r="J169" s="66" t="s">
        <v>57</v>
      </c>
      <c r="K169" s="66" t="s">
        <v>21</v>
      </c>
      <c r="L169" s="66" t="s">
        <v>36</v>
      </c>
      <c r="M169" s="67">
        <v>44760</v>
      </c>
      <c r="N169" s="68">
        <f t="shared" si="2"/>
        <v>89.99</v>
      </c>
    </row>
    <row r="170" spans="1:14" ht="15.75" customHeight="1" x14ac:dyDescent="0.35">
      <c r="A170" s="63" t="s">
        <v>313</v>
      </c>
      <c r="B170" s="64">
        <v>45645</v>
      </c>
      <c r="C170" s="63" t="s">
        <v>147</v>
      </c>
      <c r="D170" s="63" t="s">
        <v>148</v>
      </c>
      <c r="E170" s="63" t="s">
        <v>61</v>
      </c>
      <c r="F170" s="63" t="s">
        <v>62</v>
      </c>
      <c r="G170" s="63" t="s">
        <v>19</v>
      </c>
      <c r="H170" s="63">
        <v>5</v>
      </c>
      <c r="I170" s="63">
        <v>899.99</v>
      </c>
      <c r="J170" s="63" t="s">
        <v>57</v>
      </c>
      <c r="K170" s="63" t="s">
        <v>63</v>
      </c>
      <c r="L170" s="63" t="s">
        <v>36</v>
      </c>
      <c r="M170" s="64">
        <v>44625</v>
      </c>
      <c r="N170" s="69">
        <f t="shared" si="2"/>
        <v>4499.95</v>
      </c>
    </row>
    <row r="171" spans="1:14" ht="15.75" customHeight="1" x14ac:dyDescent="0.35">
      <c r="A171" s="66" t="s">
        <v>314</v>
      </c>
      <c r="B171" s="67">
        <v>45646</v>
      </c>
      <c r="C171" s="66" t="s">
        <v>42</v>
      </c>
      <c r="D171" s="66" t="s">
        <v>43</v>
      </c>
      <c r="E171" s="66" t="s">
        <v>44</v>
      </c>
      <c r="F171" s="66" t="s">
        <v>45</v>
      </c>
      <c r="G171" s="66" t="s">
        <v>46</v>
      </c>
      <c r="H171" s="66">
        <v>2</v>
      </c>
      <c r="I171" s="66">
        <v>149.99</v>
      </c>
      <c r="J171" s="66" t="s">
        <v>20</v>
      </c>
      <c r="K171" s="66" t="s">
        <v>35</v>
      </c>
      <c r="L171" s="66" t="s">
        <v>22</v>
      </c>
      <c r="M171" s="67">
        <v>45239</v>
      </c>
      <c r="N171" s="68">
        <f t="shared" si="2"/>
        <v>299.98</v>
      </c>
    </row>
    <row r="172" spans="1:14" ht="15.75" customHeight="1" x14ac:dyDescent="0.35">
      <c r="A172" s="63" t="s">
        <v>315</v>
      </c>
      <c r="B172" s="64">
        <v>45648</v>
      </c>
      <c r="C172" s="63" t="s">
        <v>112</v>
      </c>
      <c r="D172" s="63" t="s">
        <v>113</v>
      </c>
      <c r="E172" s="63" t="s">
        <v>52</v>
      </c>
      <c r="F172" s="63" t="s">
        <v>53</v>
      </c>
      <c r="G172" s="63" t="s">
        <v>19</v>
      </c>
      <c r="H172" s="63">
        <v>2</v>
      </c>
      <c r="I172" s="63">
        <v>149.99</v>
      </c>
      <c r="J172" s="63" t="s">
        <v>57</v>
      </c>
      <c r="K172" s="63" t="s">
        <v>50</v>
      </c>
      <c r="L172" s="63" t="s">
        <v>27</v>
      </c>
      <c r="M172" s="64">
        <v>45280</v>
      </c>
      <c r="N172" s="69">
        <f t="shared" si="2"/>
        <v>299.98</v>
      </c>
    </row>
    <row r="173" spans="1:14" ht="15.75" customHeight="1" x14ac:dyDescent="0.35">
      <c r="A173" s="66" t="s">
        <v>316</v>
      </c>
      <c r="B173" s="67">
        <v>45648</v>
      </c>
      <c r="C173" s="66" t="s">
        <v>182</v>
      </c>
      <c r="D173" s="66" t="s">
        <v>183</v>
      </c>
      <c r="E173" s="66" t="s">
        <v>44</v>
      </c>
      <c r="F173" s="66" t="s">
        <v>45</v>
      </c>
      <c r="G173" s="66" t="s">
        <v>46</v>
      </c>
      <c r="H173" s="66">
        <v>3</v>
      </c>
      <c r="I173" s="66">
        <v>149.99</v>
      </c>
      <c r="J173" s="66" t="s">
        <v>57</v>
      </c>
      <c r="K173" s="66" t="s">
        <v>40</v>
      </c>
      <c r="L173" s="66" t="s">
        <v>36</v>
      </c>
      <c r="M173" s="67">
        <v>44522</v>
      </c>
      <c r="N173" s="68">
        <f t="shared" si="2"/>
        <v>449.97</v>
      </c>
    </row>
    <row r="174" spans="1:14" ht="15.75" customHeight="1" x14ac:dyDescent="0.35">
      <c r="A174" s="63" t="s">
        <v>317</v>
      </c>
      <c r="B174" s="64">
        <v>45649</v>
      </c>
      <c r="C174" s="63" t="s">
        <v>29</v>
      </c>
      <c r="D174" s="63" t="s">
        <v>30</v>
      </c>
      <c r="E174" s="63" t="s">
        <v>105</v>
      </c>
      <c r="F174" s="63" t="s">
        <v>106</v>
      </c>
      <c r="G174" s="63" t="s">
        <v>46</v>
      </c>
      <c r="H174" s="63">
        <v>2</v>
      </c>
      <c r="I174" s="63">
        <v>299.99</v>
      </c>
      <c r="J174" s="63" t="s">
        <v>34</v>
      </c>
      <c r="K174" s="63" t="s">
        <v>35</v>
      </c>
      <c r="L174" s="63" t="s">
        <v>22</v>
      </c>
      <c r="M174" s="64">
        <v>44721</v>
      </c>
      <c r="N174" s="69">
        <f t="shared" si="2"/>
        <v>599.98</v>
      </c>
    </row>
    <row r="175" spans="1:14" ht="15.75" customHeight="1" x14ac:dyDescent="0.35">
      <c r="A175" s="66" t="s">
        <v>318</v>
      </c>
      <c r="B175" s="67">
        <v>45654</v>
      </c>
      <c r="C175" s="66" t="s">
        <v>42</v>
      </c>
      <c r="D175" s="66" t="s">
        <v>43</v>
      </c>
      <c r="E175" s="66" t="s">
        <v>105</v>
      </c>
      <c r="F175" s="66" t="s">
        <v>106</v>
      </c>
      <c r="G175" s="66" t="s">
        <v>46</v>
      </c>
      <c r="H175" s="66">
        <v>2</v>
      </c>
      <c r="I175" s="66">
        <v>299.99</v>
      </c>
      <c r="J175" s="66" t="s">
        <v>20</v>
      </c>
      <c r="K175" s="66" t="s">
        <v>50</v>
      </c>
      <c r="L175" s="66" t="s">
        <v>22</v>
      </c>
      <c r="M175" s="67">
        <v>44771</v>
      </c>
      <c r="N175" s="68">
        <f t="shared" si="2"/>
        <v>599.98</v>
      </c>
    </row>
    <row r="176" spans="1:14" ht="15.75" customHeight="1" x14ac:dyDescent="0.35">
      <c r="A176" s="63" t="s">
        <v>319</v>
      </c>
      <c r="B176" s="64">
        <v>45654</v>
      </c>
      <c r="C176" s="63" t="s">
        <v>120</v>
      </c>
      <c r="D176" s="63" t="s">
        <v>121</v>
      </c>
      <c r="E176" s="63" t="s">
        <v>126</v>
      </c>
      <c r="F176" s="63" t="s">
        <v>127</v>
      </c>
      <c r="G176" s="63" t="s">
        <v>46</v>
      </c>
      <c r="H176" s="63">
        <v>4</v>
      </c>
      <c r="I176" s="63">
        <v>199.99</v>
      </c>
      <c r="J176" s="63" t="s">
        <v>26</v>
      </c>
      <c r="K176" s="63" t="s">
        <v>21</v>
      </c>
      <c r="L176" s="63" t="s">
        <v>22</v>
      </c>
      <c r="M176" s="64">
        <v>44523</v>
      </c>
      <c r="N176" s="69">
        <f t="shared" si="2"/>
        <v>799.96</v>
      </c>
    </row>
    <row r="177" spans="1:14" ht="15.75" customHeight="1" x14ac:dyDescent="0.35">
      <c r="A177" s="66" t="s">
        <v>320</v>
      </c>
      <c r="B177" s="67">
        <v>45655</v>
      </c>
      <c r="C177" s="66" t="s">
        <v>59</v>
      </c>
      <c r="D177" s="66" t="s">
        <v>60</v>
      </c>
      <c r="E177" s="66" t="s">
        <v>117</v>
      </c>
      <c r="F177" s="66" t="s">
        <v>118</v>
      </c>
      <c r="G177" s="66" t="s">
        <v>19</v>
      </c>
      <c r="H177" s="66">
        <v>1</v>
      </c>
      <c r="I177" s="66">
        <v>89.99</v>
      </c>
      <c r="J177" s="66" t="s">
        <v>26</v>
      </c>
      <c r="K177" s="66" t="s">
        <v>35</v>
      </c>
      <c r="L177" s="66" t="s">
        <v>27</v>
      </c>
      <c r="M177" s="67">
        <v>44591</v>
      </c>
      <c r="N177" s="68">
        <f t="shared" si="2"/>
        <v>89.99</v>
      </c>
    </row>
    <row r="178" spans="1:14" ht="15.75" customHeight="1" x14ac:dyDescent="0.35">
      <c r="A178" s="63" t="s">
        <v>321</v>
      </c>
      <c r="B178" s="64">
        <v>45655</v>
      </c>
      <c r="C178" s="63" t="s">
        <v>108</v>
      </c>
      <c r="D178" s="63" t="s">
        <v>109</v>
      </c>
      <c r="E178" s="63" t="s">
        <v>44</v>
      </c>
      <c r="F178" s="63" t="s">
        <v>45</v>
      </c>
      <c r="G178" s="63" t="s">
        <v>46</v>
      </c>
      <c r="H178" s="63">
        <v>5</v>
      </c>
      <c r="I178" s="63">
        <v>149.99</v>
      </c>
      <c r="J178" s="63" t="s">
        <v>20</v>
      </c>
      <c r="K178" s="63" t="s">
        <v>21</v>
      </c>
      <c r="L178" s="63" t="s">
        <v>27</v>
      </c>
      <c r="M178" s="64">
        <v>45347</v>
      </c>
      <c r="N178" s="69">
        <f t="shared" si="2"/>
        <v>749.95</v>
      </c>
    </row>
    <row r="179" spans="1:14" ht="15.75" customHeight="1" x14ac:dyDescent="0.35">
      <c r="A179" s="66" t="s">
        <v>322</v>
      </c>
      <c r="B179" s="67">
        <v>45657</v>
      </c>
      <c r="C179" s="66" t="s">
        <v>86</v>
      </c>
      <c r="D179" s="66" t="s">
        <v>87</v>
      </c>
      <c r="E179" s="66" t="s">
        <v>61</v>
      </c>
      <c r="F179" s="66" t="s">
        <v>62</v>
      </c>
      <c r="G179" s="66" t="s">
        <v>19</v>
      </c>
      <c r="H179" s="66">
        <v>1</v>
      </c>
      <c r="I179" s="66">
        <v>899.99</v>
      </c>
      <c r="J179" s="66" t="s">
        <v>34</v>
      </c>
      <c r="K179" s="66" t="s">
        <v>40</v>
      </c>
      <c r="L179" s="66" t="s">
        <v>27</v>
      </c>
      <c r="M179" s="67">
        <v>45050</v>
      </c>
      <c r="N179" s="68">
        <f t="shared" si="2"/>
        <v>899.99</v>
      </c>
    </row>
    <row r="180" spans="1:14" ht="15.75" customHeight="1" x14ac:dyDescent="0.35">
      <c r="A180" s="63" t="s">
        <v>323</v>
      </c>
      <c r="B180" s="64">
        <v>45660</v>
      </c>
      <c r="C180" s="63" t="s">
        <v>147</v>
      </c>
      <c r="D180" s="63" t="s">
        <v>148</v>
      </c>
      <c r="E180" s="63" t="s">
        <v>117</v>
      </c>
      <c r="F180" s="63" t="s">
        <v>118</v>
      </c>
      <c r="G180" s="63" t="s">
        <v>19</v>
      </c>
      <c r="H180" s="63">
        <v>2</v>
      </c>
      <c r="I180" s="63">
        <v>89.99</v>
      </c>
      <c r="J180" s="63" t="s">
        <v>26</v>
      </c>
      <c r="K180" s="63" t="s">
        <v>35</v>
      </c>
      <c r="L180" s="63" t="s">
        <v>27</v>
      </c>
      <c r="M180" s="64">
        <v>44564</v>
      </c>
      <c r="N180" s="69">
        <f t="shared" si="2"/>
        <v>179.98</v>
      </c>
    </row>
    <row r="181" spans="1:14" ht="15.75" customHeight="1" x14ac:dyDescent="0.35">
      <c r="A181" s="66" t="s">
        <v>324</v>
      </c>
      <c r="B181" s="67">
        <v>45661</v>
      </c>
      <c r="C181" s="66" t="s">
        <v>325</v>
      </c>
      <c r="D181" s="66" t="s">
        <v>326</v>
      </c>
      <c r="E181" s="66" t="s">
        <v>61</v>
      </c>
      <c r="F181" s="66" t="s">
        <v>62</v>
      </c>
      <c r="G181" s="66" t="s">
        <v>19</v>
      </c>
      <c r="H181" s="66">
        <v>1</v>
      </c>
      <c r="I181" s="66">
        <v>899.99</v>
      </c>
      <c r="J181" s="66" t="s">
        <v>34</v>
      </c>
      <c r="K181" s="66" t="s">
        <v>40</v>
      </c>
      <c r="L181" s="66" t="s">
        <v>36</v>
      </c>
      <c r="M181" s="67">
        <v>44752</v>
      </c>
      <c r="N181" s="68">
        <f t="shared" si="2"/>
        <v>899.99</v>
      </c>
    </row>
    <row r="182" spans="1:14" ht="15.75" customHeight="1" x14ac:dyDescent="0.35">
      <c r="A182" s="63" t="s">
        <v>327</v>
      </c>
      <c r="B182" s="64">
        <v>45663</v>
      </c>
      <c r="C182" s="63" t="s">
        <v>129</v>
      </c>
      <c r="D182" s="63" t="s">
        <v>130</v>
      </c>
      <c r="E182" s="63" t="s">
        <v>52</v>
      </c>
      <c r="F182" s="63" t="s">
        <v>53</v>
      </c>
      <c r="G182" s="63" t="s">
        <v>19</v>
      </c>
      <c r="H182" s="63">
        <v>5</v>
      </c>
      <c r="I182" s="63">
        <v>149.99</v>
      </c>
      <c r="J182" s="63" t="s">
        <v>34</v>
      </c>
      <c r="K182" s="63" t="s">
        <v>63</v>
      </c>
      <c r="L182" s="63" t="s">
        <v>27</v>
      </c>
      <c r="M182" s="64">
        <v>44824</v>
      </c>
      <c r="N182" s="69">
        <f t="shared" si="2"/>
        <v>749.95</v>
      </c>
    </row>
    <row r="183" spans="1:14" ht="15.75" customHeight="1" x14ac:dyDescent="0.35">
      <c r="A183" s="66" t="s">
        <v>328</v>
      </c>
      <c r="B183" s="67">
        <v>45663</v>
      </c>
      <c r="C183" s="66" t="s">
        <v>42</v>
      </c>
      <c r="D183" s="66" t="s">
        <v>43</v>
      </c>
      <c r="E183" s="66" t="s">
        <v>105</v>
      </c>
      <c r="F183" s="66" t="s">
        <v>106</v>
      </c>
      <c r="G183" s="66" t="s">
        <v>46</v>
      </c>
      <c r="H183" s="66">
        <v>3</v>
      </c>
      <c r="I183" s="66">
        <v>299.99</v>
      </c>
      <c r="J183" s="66" t="s">
        <v>20</v>
      </c>
      <c r="K183" s="66" t="s">
        <v>35</v>
      </c>
      <c r="L183" s="66" t="s">
        <v>36</v>
      </c>
      <c r="M183" s="67">
        <v>44422</v>
      </c>
      <c r="N183" s="68">
        <f t="shared" si="2"/>
        <v>899.97</v>
      </c>
    </row>
    <row r="184" spans="1:14" ht="15.75" customHeight="1" x14ac:dyDescent="0.35">
      <c r="A184" s="63" t="s">
        <v>329</v>
      </c>
      <c r="B184" s="64">
        <v>45666</v>
      </c>
      <c r="C184" s="63" t="s">
        <v>65</v>
      </c>
      <c r="D184" s="63" t="s">
        <v>66</v>
      </c>
      <c r="E184" s="63" t="s">
        <v>80</v>
      </c>
      <c r="F184" s="63" t="s">
        <v>81</v>
      </c>
      <c r="G184" s="63" t="s">
        <v>19</v>
      </c>
      <c r="H184" s="63">
        <v>3</v>
      </c>
      <c r="I184" s="63">
        <v>699.99</v>
      </c>
      <c r="J184" s="63" t="s">
        <v>26</v>
      </c>
      <c r="K184" s="63" t="s">
        <v>21</v>
      </c>
      <c r="L184" s="63" t="s">
        <v>27</v>
      </c>
      <c r="M184" s="64">
        <v>45105</v>
      </c>
      <c r="N184" s="69">
        <f t="shared" si="2"/>
        <v>2099.9700000000003</v>
      </c>
    </row>
    <row r="185" spans="1:14" ht="15.75" customHeight="1" x14ac:dyDescent="0.35">
      <c r="A185" s="66" t="s">
        <v>330</v>
      </c>
      <c r="B185" s="67">
        <v>45667</v>
      </c>
      <c r="C185" s="66" t="s">
        <v>108</v>
      </c>
      <c r="D185" s="66" t="s">
        <v>109</v>
      </c>
      <c r="E185" s="66" t="s">
        <v>126</v>
      </c>
      <c r="F185" s="66" t="s">
        <v>127</v>
      </c>
      <c r="G185" s="66" t="s">
        <v>46</v>
      </c>
      <c r="H185" s="66">
        <v>5</v>
      </c>
      <c r="I185" s="66">
        <v>199.99</v>
      </c>
      <c r="J185" s="66" t="s">
        <v>34</v>
      </c>
      <c r="K185" s="66" t="s">
        <v>21</v>
      </c>
      <c r="L185" s="66" t="s">
        <v>36</v>
      </c>
      <c r="M185" s="67">
        <v>44633</v>
      </c>
      <c r="N185" s="68">
        <f t="shared" si="2"/>
        <v>999.95</v>
      </c>
    </row>
    <row r="186" spans="1:14" ht="15.75" customHeight="1" x14ac:dyDescent="0.35">
      <c r="A186" s="63" t="s">
        <v>331</v>
      </c>
      <c r="B186" s="64">
        <v>45667</v>
      </c>
      <c r="C186" s="63" t="s">
        <v>93</v>
      </c>
      <c r="D186" s="63" t="s">
        <v>94</v>
      </c>
      <c r="E186" s="63" t="s">
        <v>17</v>
      </c>
      <c r="F186" s="63" t="s">
        <v>18</v>
      </c>
      <c r="G186" s="63" t="s">
        <v>19</v>
      </c>
      <c r="H186" s="63">
        <v>5</v>
      </c>
      <c r="I186" s="63">
        <v>249.99</v>
      </c>
      <c r="J186" s="63" t="s">
        <v>26</v>
      </c>
      <c r="K186" s="63" t="s">
        <v>35</v>
      </c>
      <c r="L186" s="63" t="s">
        <v>22</v>
      </c>
      <c r="M186" s="64">
        <v>45330</v>
      </c>
      <c r="N186" s="69">
        <f t="shared" si="2"/>
        <v>1249.95</v>
      </c>
    </row>
    <row r="187" spans="1:14" ht="15.75" customHeight="1" x14ac:dyDescent="0.35">
      <c r="A187" s="66" t="s">
        <v>332</v>
      </c>
      <c r="B187" s="67">
        <v>45668</v>
      </c>
      <c r="C187" s="66" t="s">
        <v>138</v>
      </c>
      <c r="D187" s="66" t="s">
        <v>139</v>
      </c>
      <c r="E187" s="66" t="s">
        <v>52</v>
      </c>
      <c r="F187" s="66" t="s">
        <v>53</v>
      </c>
      <c r="G187" s="66" t="s">
        <v>19</v>
      </c>
      <c r="H187" s="66">
        <v>4</v>
      </c>
      <c r="I187" s="66">
        <v>149.99</v>
      </c>
      <c r="J187" s="66" t="s">
        <v>57</v>
      </c>
      <c r="K187" s="66" t="s">
        <v>63</v>
      </c>
      <c r="L187" s="66" t="s">
        <v>36</v>
      </c>
      <c r="M187" s="67">
        <v>44536</v>
      </c>
      <c r="N187" s="68">
        <f t="shared" si="2"/>
        <v>599.96</v>
      </c>
    </row>
    <row r="188" spans="1:14" ht="15.75" customHeight="1" x14ac:dyDescent="0.35">
      <c r="A188" s="63" t="s">
        <v>333</v>
      </c>
      <c r="B188" s="64">
        <v>45668</v>
      </c>
      <c r="C188" s="63" t="s">
        <v>78</v>
      </c>
      <c r="D188" s="63" t="s">
        <v>79</v>
      </c>
      <c r="E188" s="63" t="s">
        <v>80</v>
      </c>
      <c r="F188" s="63" t="s">
        <v>81</v>
      </c>
      <c r="G188" s="63" t="s">
        <v>19</v>
      </c>
      <c r="H188" s="63">
        <v>3</v>
      </c>
      <c r="I188" s="63">
        <v>699.99</v>
      </c>
      <c r="J188" s="63" t="s">
        <v>20</v>
      </c>
      <c r="K188" s="63" t="s">
        <v>40</v>
      </c>
      <c r="L188" s="63" t="s">
        <v>27</v>
      </c>
      <c r="M188" s="64">
        <v>44602</v>
      </c>
      <c r="N188" s="69">
        <f t="shared" si="2"/>
        <v>2099.9700000000003</v>
      </c>
    </row>
    <row r="189" spans="1:14" ht="15.75" customHeight="1" x14ac:dyDescent="0.35">
      <c r="A189" s="66" t="s">
        <v>334</v>
      </c>
      <c r="B189" s="67">
        <v>45670</v>
      </c>
      <c r="C189" s="66" t="s">
        <v>293</v>
      </c>
      <c r="D189" s="66" t="s">
        <v>294</v>
      </c>
      <c r="E189" s="66" t="s">
        <v>114</v>
      </c>
      <c r="F189" s="66" t="s">
        <v>115</v>
      </c>
      <c r="G189" s="66" t="s">
        <v>33</v>
      </c>
      <c r="H189" s="66">
        <v>1</v>
      </c>
      <c r="I189" s="66">
        <v>79.989999999999995</v>
      </c>
      <c r="J189" s="66" t="s">
        <v>26</v>
      </c>
      <c r="K189" s="66" t="s">
        <v>35</v>
      </c>
      <c r="L189" s="66" t="s">
        <v>22</v>
      </c>
      <c r="M189" s="67">
        <v>45322</v>
      </c>
      <c r="N189" s="68">
        <f t="shared" si="2"/>
        <v>79.989999999999995</v>
      </c>
    </row>
    <row r="190" spans="1:14" ht="15.75" customHeight="1" x14ac:dyDescent="0.35">
      <c r="A190" s="63" t="s">
        <v>335</v>
      </c>
      <c r="B190" s="64">
        <v>45670</v>
      </c>
      <c r="C190" s="63" t="s">
        <v>86</v>
      </c>
      <c r="D190" s="63" t="s">
        <v>87</v>
      </c>
      <c r="E190" s="63" t="s">
        <v>105</v>
      </c>
      <c r="F190" s="63" t="s">
        <v>106</v>
      </c>
      <c r="G190" s="63" t="s">
        <v>46</v>
      </c>
      <c r="H190" s="63">
        <v>1</v>
      </c>
      <c r="I190" s="63">
        <v>299.99</v>
      </c>
      <c r="J190" s="63" t="s">
        <v>26</v>
      </c>
      <c r="K190" s="63" t="s">
        <v>40</v>
      </c>
      <c r="L190" s="63" t="s">
        <v>22</v>
      </c>
      <c r="M190" s="64">
        <v>44436</v>
      </c>
      <c r="N190" s="69">
        <f t="shared" si="2"/>
        <v>299.99</v>
      </c>
    </row>
    <row r="191" spans="1:14" ht="15.75" customHeight="1" x14ac:dyDescent="0.35">
      <c r="A191" s="66" t="s">
        <v>336</v>
      </c>
      <c r="B191" s="67">
        <v>45671</v>
      </c>
      <c r="C191" s="66" t="s">
        <v>158</v>
      </c>
      <c r="D191" s="66" t="s">
        <v>159</v>
      </c>
      <c r="E191" s="66" t="s">
        <v>17</v>
      </c>
      <c r="F191" s="66" t="s">
        <v>18</v>
      </c>
      <c r="G191" s="66" t="s">
        <v>19</v>
      </c>
      <c r="H191" s="66">
        <v>4</v>
      </c>
      <c r="I191" s="66">
        <v>249.99</v>
      </c>
      <c r="J191" s="66" t="s">
        <v>26</v>
      </c>
      <c r="K191" s="66" t="s">
        <v>40</v>
      </c>
      <c r="L191" s="66" t="s">
        <v>27</v>
      </c>
      <c r="M191" s="67">
        <v>44460</v>
      </c>
      <c r="N191" s="68">
        <f t="shared" si="2"/>
        <v>999.96</v>
      </c>
    </row>
    <row r="192" spans="1:14" ht="15.75" customHeight="1" x14ac:dyDescent="0.35">
      <c r="A192" s="63" t="s">
        <v>337</v>
      </c>
      <c r="B192" s="64">
        <v>45671</v>
      </c>
      <c r="C192" s="63" t="s">
        <v>120</v>
      </c>
      <c r="D192" s="63" t="s">
        <v>121</v>
      </c>
      <c r="E192" s="63" t="s">
        <v>52</v>
      </c>
      <c r="F192" s="63" t="s">
        <v>53</v>
      </c>
      <c r="G192" s="63" t="s">
        <v>19</v>
      </c>
      <c r="H192" s="63">
        <v>2</v>
      </c>
      <c r="I192" s="63">
        <v>149.99</v>
      </c>
      <c r="J192" s="63" t="s">
        <v>20</v>
      </c>
      <c r="K192" s="63" t="s">
        <v>40</v>
      </c>
      <c r="L192" s="63" t="s">
        <v>36</v>
      </c>
      <c r="M192" s="64">
        <v>44913</v>
      </c>
      <c r="N192" s="69">
        <f t="shared" si="2"/>
        <v>299.98</v>
      </c>
    </row>
    <row r="193" spans="1:14" ht="15.75" customHeight="1" x14ac:dyDescent="0.35">
      <c r="A193" s="66" t="s">
        <v>338</v>
      </c>
      <c r="B193" s="67">
        <v>45671</v>
      </c>
      <c r="C193" s="66" t="s">
        <v>234</v>
      </c>
      <c r="D193" s="66" t="s">
        <v>235</v>
      </c>
      <c r="E193" s="66" t="s">
        <v>105</v>
      </c>
      <c r="F193" s="66" t="s">
        <v>106</v>
      </c>
      <c r="G193" s="66" t="s">
        <v>46</v>
      </c>
      <c r="H193" s="66">
        <v>3</v>
      </c>
      <c r="I193" s="66">
        <v>299.99</v>
      </c>
      <c r="J193" s="66" t="s">
        <v>26</v>
      </c>
      <c r="K193" s="66" t="s">
        <v>35</v>
      </c>
      <c r="L193" s="66" t="s">
        <v>22</v>
      </c>
      <c r="M193" s="67">
        <v>45204</v>
      </c>
      <c r="N193" s="68">
        <f t="shared" si="2"/>
        <v>899.97</v>
      </c>
    </row>
    <row r="194" spans="1:14" ht="15.75" customHeight="1" x14ac:dyDescent="0.35">
      <c r="A194" s="63" t="s">
        <v>339</v>
      </c>
      <c r="B194" s="64">
        <v>45673</v>
      </c>
      <c r="C194" s="63" t="s">
        <v>226</v>
      </c>
      <c r="D194" s="63" t="s">
        <v>227</v>
      </c>
      <c r="E194" s="63" t="s">
        <v>126</v>
      </c>
      <c r="F194" s="63" t="s">
        <v>127</v>
      </c>
      <c r="G194" s="63" t="s">
        <v>46</v>
      </c>
      <c r="H194" s="63">
        <v>4</v>
      </c>
      <c r="I194" s="63">
        <v>199.99</v>
      </c>
      <c r="J194" s="63" t="s">
        <v>57</v>
      </c>
      <c r="K194" s="63" t="s">
        <v>35</v>
      </c>
      <c r="L194" s="63" t="s">
        <v>36</v>
      </c>
      <c r="M194" s="64">
        <v>44544</v>
      </c>
      <c r="N194" s="69">
        <f t="shared" si="2"/>
        <v>799.96</v>
      </c>
    </row>
    <row r="195" spans="1:14" ht="15.75" customHeight="1" x14ac:dyDescent="0.35">
      <c r="A195" s="66" t="s">
        <v>340</v>
      </c>
      <c r="B195" s="67">
        <v>45673</v>
      </c>
      <c r="C195" s="66" t="s">
        <v>211</v>
      </c>
      <c r="D195" s="66" t="s">
        <v>212</v>
      </c>
      <c r="E195" s="66" t="s">
        <v>105</v>
      </c>
      <c r="F195" s="66" t="s">
        <v>106</v>
      </c>
      <c r="G195" s="66" t="s">
        <v>46</v>
      </c>
      <c r="H195" s="66">
        <v>5</v>
      </c>
      <c r="I195" s="66">
        <v>299.99</v>
      </c>
      <c r="J195" s="66" t="s">
        <v>57</v>
      </c>
      <c r="K195" s="66" t="s">
        <v>21</v>
      </c>
      <c r="L195" s="66" t="s">
        <v>22</v>
      </c>
      <c r="M195" s="67">
        <v>44431</v>
      </c>
      <c r="N195" s="68">
        <f t="shared" ref="N195:N251" si="3">I195*H195</f>
        <v>1499.95</v>
      </c>
    </row>
    <row r="196" spans="1:14" ht="15.75" customHeight="1" x14ac:dyDescent="0.35">
      <c r="A196" s="63" t="s">
        <v>341</v>
      </c>
      <c r="B196" s="64">
        <v>45673</v>
      </c>
      <c r="C196" s="63" t="s">
        <v>59</v>
      </c>
      <c r="D196" s="63" t="s">
        <v>60</v>
      </c>
      <c r="E196" s="63" t="s">
        <v>44</v>
      </c>
      <c r="F196" s="63" t="s">
        <v>45</v>
      </c>
      <c r="G196" s="63" t="s">
        <v>46</v>
      </c>
      <c r="H196" s="63">
        <v>3</v>
      </c>
      <c r="I196" s="63">
        <v>149.99</v>
      </c>
      <c r="J196" s="63" t="s">
        <v>26</v>
      </c>
      <c r="K196" s="63" t="s">
        <v>63</v>
      </c>
      <c r="L196" s="63" t="s">
        <v>36</v>
      </c>
      <c r="M196" s="64">
        <v>44395</v>
      </c>
      <c r="N196" s="69">
        <f t="shared" si="3"/>
        <v>449.97</v>
      </c>
    </row>
    <row r="197" spans="1:14" ht="15.75" customHeight="1" x14ac:dyDescent="0.35">
      <c r="A197" s="66" t="s">
        <v>342</v>
      </c>
      <c r="B197" s="67">
        <v>45676</v>
      </c>
      <c r="C197" s="66" t="s">
        <v>129</v>
      </c>
      <c r="D197" s="66" t="s">
        <v>130</v>
      </c>
      <c r="E197" s="66" t="s">
        <v>31</v>
      </c>
      <c r="F197" s="66" t="s">
        <v>32</v>
      </c>
      <c r="G197" s="66" t="s">
        <v>33</v>
      </c>
      <c r="H197" s="66">
        <v>5</v>
      </c>
      <c r="I197" s="66">
        <v>59.99</v>
      </c>
      <c r="J197" s="66" t="s">
        <v>57</v>
      </c>
      <c r="K197" s="66" t="s">
        <v>63</v>
      </c>
      <c r="L197" s="66" t="s">
        <v>22</v>
      </c>
      <c r="M197" s="67">
        <v>44642</v>
      </c>
      <c r="N197" s="68">
        <f t="shared" si="3"/>
        <v>299.95</v>
      </c>
    </row>
    <row r="198" spans="1:14" ht="15.75" customHeight="1" x14ac:dyDescent="0.35">
      <c r="A198" s="63" t="s">
        <v>343</v>
      </c>
      <c r="B198" s="64">
        <v>45682</v>
      </c>
      <c r="C198" s="63" t="s">
        <v>68</v>
      </c>
      <c r="D198" s="63" t="s">
        <v>69</v>
      </c>
      <c r="E198" s="63" t="s">
        <v>31</v>
      </c>
      <c r="F198" s="63" t="s">
        <v>32</v>
      </c>
      <c r="G198" s="63" t="s">
        <v>33</v>
      </c>
      <c r="H198" s="63">
        <v>4</v>
      </c>
      <c r="I198" s="63">
        <v>59.99</v>
      </c>
      <c r="J198" s="63" t="s">
        <v>57</v>
      </c>
      <c r="K198" s="63" t="s">
        <v>63</v>
      </c>
      <c r="L198" s="63" t="s">
        <v>36</v>
      </c>
      <c r="M198" s="64">
        <v>44564</v>
      </c>
      <c r="N198" s="69">
        <f t="shared" si="3"/>
        <v>239.96</v>
      </c>
    </row>
    <row r="199" spans="1:14" ht="15.75" customHeight="1" x14ac:dyDescent="0.35">
      <c r="A199" s="66" t="s">
        <v>344</v>
      </c>
      <c r="B199" s="67">
        <v>45683</v>
      </c>
      <c r="C199" s="66" t="s">
        <v>48</v>
      </c>
      <c r="D199" s="66" t="s">
        <v>49</v>
      </c>
      <c r="E199" s="66" t="s">
        <v>17</v>
      </c>
      <c r="F199" s="66" t="s">
        <v>18</v>
      </c>
      <c r="G199" s="66" t="s">
        <v>19</v>
      </c>
      <c r="H199" s="66">
        <v>4</v>
      </c>
      <c r="I199" s="66">
        <v>249.99</v>
      </c>
      <c r="J199" s="66" t="s">
        <v>57</v>
      </c>
      <c r="K199" s="66" t="s">
        <v>21</v>
      </c>
      <c r="L199" s="66" t="s">
        <v>27</v>
      </c>
      <c r="M199" s="67">
        <v>45217</v>
      </c>
      <c r="N199" s="68">
        <f t="shared" si="3"/>
        <v>999.96</v>
      </c>
    </row>
    <row r="200" spans="1:14" ht="15.75" customHeight="1" x14ac:dyDescent="0.35">
      <c r="A200" s="63" t="s">
        <v>345</v>
      </c>
      <c r="B200" s="64">
        <v>45686</v>
      </c>
      <c r="C200" s="63" t="s">
        <v>252</v>
      </c>
      <c r="D200" s="63" t="s">
        <v>253</v>
      </c>
      <c r="E200" s="63" t="s">
        <v>61</v>
      </c>
      <c r="F200" s="63" t="s">
        <v>62</v>
      </c>
      <c r="G200" s="63" t="s">
        <v>19</v>
      </c>
      <c r="H200" s="63">
        <v>4</v>
      </c>
      <c r="I200" s="63">
        <v>899.99</v>
      </c>
      <c r="J200" s="63" t="s">
        <v>34</v>
      </c>
      <c r="K200" s="63" t="s">
        <v>21</v>
      </c>
      <c r="L200" s="63" t="s">
        <v>22</v>
      </c>
      <c r="M200" s="64">
        <v>44734</v>
      </c>
      <c r="N200" s="69">
        <f t="shared" si="3"/>
        <v>3599.96</v>
      </c>
    </row>
    <row r="201" spans="1:14" ht="15.75" customHeight="1" x14ac:dyDescent="0.35">
      <c r="A201" s="66" t="s">
        <v>346</v>
      </c>
      <c r="B201" s="67">
        <v>45686</v>
      </c>
      <c r="C201" s="66" t="s">
        <v>86</v>
      </c>
      <c r="D201" s="66" t="s">
        <v>87</v>
      </c>
      <c r="E201" s="66" t="s">
        <v>105</v>
      </c>
      <c r="F201" s="66" t="s">
        <v>106</v>
      </c>
      <c r="G201" s="66" t="s">
        <v>46</v>
      </c>
      <c r="H201" s="66">
        <v>3</v>
      </c>
      <c r="I201" s="66">
        <v>299.99</v>
      </c>
      <c r="J201" s="66" t="s">
        <v>57</v>
      </c>
      <c r="K201" s="66" t="s">
        <v>50</v>
      </c>
      <c r="L201" s="66" t="s">
        <v>36</v>
      </c>
      <c r="M201" s="67">
        <v>44952</v>
      </c>
      <c r="N201" s="68">
        <f t="shared" si="3"/>
        <v>899.97</v>
      </c>
    </row>
    <row r="202" spans="1:14" ht="15.75" customHeight="1" x14ac:dyDescent="0.35">
      <c r="A202" s="63" t="s">
        <v>347</v>
      </c>
      <c r="B202" s="64">
        <v>45686</v>
      </c>
      <c r="C202" s="63" t="s">
        <v>293</v>
      </c>
      <c r="D202" s="63" t="s">
        <v>294</v>
      </c>
      <c r="E202" s="63" t="s">
        <v>80</v>
      </c>
      <c r="F202" s="63" t="s">
        <v>81</v>
      </c>
      <c r="G202" s="63" t="s">
        <v>19</v>
      </c>
      <c r="H202" s="63">
        <v>2</v>
      </c>
      <c r="I202" s="63">
        <v>699.99</v>
      </c>
      <c r="J202" s="63" t="s">
        <v>57</v>
      </c>
      <c r="K202" s="63" t="s">
        <v>21</v>
      </c>
      <c r="L202" s="63" t="s">
        <v>27</v>
      </c>
      <c r="M202" s="64">
        <v>44681</v>
      </c>
      <c r="N202" s="69">
        <f t="shared" si="3"/>
        <v>1399.98</v>
      </c>
    </row>
    <row r="203" spans="1:14" ht="15.75" customHeight="1" x14ac:dyDescent="0.35">
      <c r="A203" s="66" t="s">
        <v>348</v>
      </c>
      <c r="B203" s="67">
        <v>45688</v>
      </c>
      <c r="C203" s="66" t="s">
        <v>65</v>
      </c>
      <c r="D203" s="66" t="s">
        <v>66</v>
      </c>
      <c r="E203" s="66" t="s">
        <v>80</v>
      </c>
      <c r="F203" s="66" t="s">
        <v>81</v>
      </c>
      <c r="G203" s="66" t="s">
        <v>19</v>
      </c>
      <c r="H203" s="66">
        <v>4</v>
      </c>
      <c r="I203" s="66">
        <v>699.99</v>
      </c>
      <c r="J203" s="66" t="s">
        <v>57</v>
      </c>
      <c r="K203" s="66" t="s">
        <v>50</v>
      </c>
      <c r="L203" s="66" t="s">
        <v>27</v>
      </c>
      <c r="M203" s="67">
        <v>44692</v>
      </c>
      <c r="N203" s="68">
        <f t="shared" si="3"/>
        <v>2799.96</v>
      </c>
    </row>
    <row r="204" spans="1:14" ht="15.75" customHeight="1" x14ac:dyDescent="0.35">
      <c r="A204" s="63" t="s">
        <v>349</v>
      </c>
      <c r="B204" s="64">
        <v>45688</v>
      </c>
      <c r="C204" s="63" t="s">
        <v>123</v>
      </c>
      <c r="D204" s="63" t="s">
        <v>124</v>
      </c>
      <c r="E204" s="63" t="s">
        <v>117</v>
      </c>
      <c r="F204" s="63" t="s">
        <v>118</v>
      </c>
      <c r="G204" s="63" t="s">
        <v>19</v>
      </c>
      <c r="H204" s="63">
        <v>2</v>
      </c>
      <c r="I204" s="63">
        <v>89.99</v>
      </c>
      <c r="J204" s="63" t="s">
        <v>57</v>
      </c>
      <c r="K204" s="63" t="s">
        <v>35</v>
      </c>
      <c r="L204" s="63" t="s">
        <v>22</v>
      </c>
      <c r="M204" s="64">
        <v>44777</v>
      </c>
      <c r="N204" s="69">
        <f t="shared" si="3"/>
        <v>179.98</v>
      </c>
    </row>
    <row r="205" spans="1:14" ht="15.75" customHeight="1" x14ac:dyDescent="0.35">
      <c r="A205" s="66" t="s">
        <v>350</v>
      </c>
      <c r="B205" s="67">
        <v>45688</v>
      </c>
      <c r="C205" s="66" t="s">
        <v>42</v>
      </c>
      <c r="D205" s="66" t="s">
        <v>43</v>
      </c>
      <c r="E205" s="66" t="s">
        <v>117</v>
      </c>
      <c r="F205" s="66" t="s">
        <v>118</v>
      </c>
      <c r="G205" s="66" t="s">
        <v>19</v>
      </c>
      <c r="H205" s="66">
        <v>3</v>
      </c>
      <c r="I205" s="66">
        <v>89.99</v>
      </c>
      <c r="J205" s="66" t="s">
        <v>57</v>
      </c>
      <c r="K205" s="66" t="s">
        <v>35</v>
      </c>
      <c r="L205" s="66" t="s">
        <v>27</v>
      </c>
      <c r="M205" s="67">
        <v>45307</v>
      </c>
      <c r="N205" s="68">
        <f t="shared" si="3"/>
        <v>269.96999999999997</v>
      </c>
    </row>
    <row r="206" spans="1:14" ht="15.75" customHeight="1" x14ac:dyDescent="0.35">
      <c r="A206" s="63" t="s">
        <v>351</v>
      </c>
      <c r="B206" s="64">
        <v>45692</v>
      </c>
      <c r="C206" s="63" t="s">
        <v>325</v>
      </c>
      <c r="D206" s="63" t="s">
        <v>326</v>
      </c>
      <c r="E206" s="63" t="s">
        <v>31</v>
      </c>
      <c r="F206" s="63" t="s">
        <v>32</v>
      </c>
      <c r="G206" s="63" t="s">
        <v>33</v>
      </c>
      <c r="H206" s="63">
        <v>1</v>
      </c>
      <c r="I206" s="63">
        <v>59.99</v>
      </c>
      <c r="J206" s="63" t="s">
        <v>57</v>
      </c>
      <c r="K206" s="63" t="s">
        <v>21</v>
      </c>
      <c r="L206" s="63" t="s">
        <v>36</v>
      </c>
      <c r="M206" s="64">
        <v>45045</v>
      </c>
      <c r="N206" s="69">
        <f t="shared" si="3"/>
        <v>59.99</v>
      </c>
    </row>
    <row r="207" spans="1:14" ht="15.75" customHeight="1" x14ac:dyDescent="0.35">
      <c r="A207" s="66" t="s">
        <v>352</v>
      </c>
      <c r="B207" s="67">
        <v>45695</v>
      </c>
      <c r="C207" s="66" t="s">
        <v>246</v>
      </c>
      <c r="D207" s="66" t="s">
        <v>247</v>
      </c>
      <c r="E207" s="66" t="s">
        <v>44</v>
      </c>
      <c r="F207" s="66" t="s">
        <v>45</v>
      </c>
      <c r="G207" s="66" t="s">
        <v>46</v>
      </c>
      <c r="H207" s="66">
        <v>3</v>
      </c>
      <c r="I207" s="66">
        <v>149.99</v>
      </c>
      <c r="J207" s="66" t="s">
        <v>57</v>
      </c>
      <c r="K207" s="66" t="s">
        <v>40</v>
      </c>
      <c r="L207" s="66" t="s">
        <v>27</v>
      </c>
      <c r="M207" s="67">
        <v>44564</v>
      </c>
      <c r="N207" s="68">
        <f t="shared" si="3"/>
        <v>449.97</v>
      </c>
    </row>
    <row r="208" spans="1:14" ht="15.75" customHeight="1" x14ac:dyDescent="0.35">
      <c r="A208" s="63" t="s">
        <v>353</v>
      </c>
      <c r="B208" s="64">
        <v>45695</v>
      </c>
      <c r="C208" s="63" t="s">
        <v>93</v>
      </c>
      <c r="D208" s="63" t="s">
        <v>94</v>
      </c>
      <c r="E208" s="63" t="s">
        <v>105</v>
      </c>
      <c r="F208" s="63" t="s">
        <v>106</v>
      </c>
      <c r="G208" s="63" t="s">
        <v>46</v>
      </c>
      <c r="H208" s="63">
        <v>5</v>
      </c>
      <c r="I208" s="63">
        <v>299.99</v>
      </c>
      <c r="J208" s="63" t="s">
        <v>26</v>
      </c>
      <c r="K208" s="63" t="s">
        <v>35</v>
      </c>
      <c r="L208" s="63" t="s">
        <v>22</v>
      </c>
      <c r="M208" s="64">
        <v>44959</v>
      </c>
      <c r="N208" s="69">
        <f t="shared" si="3"/>
        <v>1499.95</v>
      </c>
    </row>
    <row r="209" spans="1:14" ht="15.75" customHeight="1" x14ac:dyDescent="0.35">
      <c r="A209" s="66" t="s">
        <v>354</v>
      </c>
      <c r="B209" s="67">
        <v>45696</v>
      </c>
      <c r="C209" s="66" t="s">
        <v>150</v>
      </c>
      <c r="D209" s="66" t="s">
        <v>151</v>
      </c>
      <c r="E209" s="66" t="s">
        <v>31</v>
      </c>
      <c r="F209" s="66" t="s">
        <v>32</v>
      </c>
      <c r="G209" s="66" t="s">
        <v>33</v>
      </c>
      <c r="H209" s="66">
        <v>5</v>
      </c>
      <c r="I209" s="66">
        <v>59.99</v>
      </c>
      <c r="J209" s="66" t="s">
        <v>57</v>
      </c>
      <c r="K209" s="66" t="s">
        <v>21</v>
      </c>
      <c r="L209" s="66" t="s">
        <v>36</v>
      </c>
      <c r="M209" s="67">
        <v>45177</v>
      </c>
      <c r="N209" s="68">
        <f t="shared" si="3"/>
        <v>299.95</v>
      </c>
    </row>
    <row r="210" spans="1:14" ht="15.75" customHeight="1" x14ac:dyDescent="0.35">
      <c r="A210" s="63" t="s">
        <v>355</v>
      </c>
      <c r="B210" s="64">
        <v>45701</v>
      </c>
      <c r="C210" s="63" t="s">
        <v>108</v>
      </c>
      <c r="D210" s="63" t="s">
        <v>109</v>
      </c>
      <c r="E210" s="63" t="s">
        <v>114</v>
      </c>
      <c r="F210" s="63" t="s">
        <v>115</v>
      </c>
      <c r="G210" s="63" t="s">
        <v>33</v>
      </c>
      <c r="H210" s="63">
        <v>3</v>
      </c>
      <c r="I210" s="63">
        <v>79.989999999999995</v>
      </c>
      <c r="J210" s="63" t="s">
        <v>20</v>
      </c>
      <c r="K210" s="63" t="s">
        <v>63</v>
      </c>
      <c r="L210" s="63" t="s">
        <v>27</v>
      </c>
      <c r="M210" s="64">
        <v>44436</v>
      </c>
      <c r="N210" s="69">
        <f t="shared" si="3"/>
        <v>239.96999999999997</v>
      </c>
    </row>
    <row r="211" spans="1:14" ht="15.75" customHeight="1" x14ac:dyDescent="0.35">
      <c r="A211" s="66" t="s">
        <v>356</v>
      </c>
      <c r="B211" s="67">
        <v>45704</v>
      </c>
      <c r="C211" s="66" t="s">
        <v>29</v>
      </c>
      <c r="D211" s="66" t="s">
        <v>30</v>
      </c>
      <c r="E211" s="66" t="s">
        <v>126</v>
      </c>
      <c r="F211" s="66" t="s">
        <v>127</v>
      </c>
      <c r="G211" s="66" t="s">
        <v>46</v>
      </c>
      <c r="H211" s="66">
        <v>3</v>
      </c>
      <c r="I211" s="66">
        <v>199.99</v>
      </c>
      <c r="J211" s="66" t="s">
        <v>20</v>
      </c>
      <c r="K211" s="66" t="s">
        <v>21</v>
      </c>
      <c r="L211" s="66" t="s">
        <v>22</v>
      </c>
      <c r="M211" s="67">
        <v>44735</v>
      </c>
      <c r="N211" s="68">
        <f t="shared" si="3"/>
        <v>599.97</v>
      </c>
    </row>
    <row r="212" spans="1:14" ht="15.75" customHeight="1" x14ac:dyDescent="0.35">
      <c r="A212" s="63" t="s">
        <v>357</v>
      </c>
      <c r="B212" s="64">
        <v>45704</v>
      </c>
      <c r="C212" s="63" t="s">
        <v>15</v>
      </c>
      <c r="D212" s="63" t="s">
        <v>16</v>
      </c>
      <c r="E212" s="63" t="s">
        <v>117</v>
      </c>
      <c r="F212" s="63" t="s">
        <v>118</v>
      </c>
      <c r="G212" s="63" t="s">
        <v>19</v>
      </c>
      <c r="H212" s="63">
        <v>2</v>
      </c>
      <c r="I212" s="63">
        <v>89.99</v>
      </c>
      <c r="J212" s="63" t="s">
        <v>34</v>
      </c>
      <c r="K212" s="63" t="s">
        <v>21</v>
      </c>
      <c r="L212" s="63" t="s">
        <v>22</v>
      </c>
      <c r="M212" s="64">
        <v>45257</v>
      </c>
      <c r="N212" s="69">
        <f t="shared" si="3"/>
        <v>179.98</v>
      </c>
    </row>
    <row r="213" spans="1:14" ht="15.75" customHeight="1" x14ac:dyDescent="0.35">
      <c r="A213" s="66" t="s">
        <v>358</v>
      </c>
      <c r="B213" s="67">
        <v>45705</v>
      </c>
      <c r="C213" s="66" t="s">
        <v>259</v>
      </c>
      <c r="D213" s="66" t="s">
        <v>260</v>
      </c>
      <c r="E213" s="66" t="s">
        <v>44</v>
      </c>
      <c r="F213" s="66" t="s">
        <v>45</v>
      </c>
      <c r="G213" s="66" t="s">
        <v>46</v>
      </c>
      <c r="H213" s="66">
        <v>2</v>
      </c>
      <c r="I213" s="66">
        <v>149.99</v>
      </c>
      <c r="J213" s="66" t="s">
        <v>20</v>
      </c>
      <c r="K213" s="66" t="s">
        <v>35</v>
      </c>
      <c r="L213" s="66" t="s">
        <v>27</v>
      </c>
      <c r="M213" s="67">
        <v>44728</v>
      </c>
      <c r="N213" s="68">
        <f t="shared" si="3"/>
        <v>299.98</v>
      </c>
    </row>
    <row r="214" spans="1:14" ht="15.75" customHeight="1" x14ac:dyDescent="0.35">
      <c r="A214" s="63" t="s">
        <v>359</v>
      </c>
      <c r="B214" s="64">
        <v>45707</v>
      </c>
      <c r="C214" s="63" t="s">
        <v>123</v>
      </c>
      <c r="D214" s="63" t="s">
        <v>124</v>
      </c>
      <c r="E214" s="63" t="s">
        <v>80</v>
      </c>
      <c r="F214" s="63" t="s">
        <v>81</v>
      </c>
      <c r="G214" s="63" t="s">
        <v>19</v>
      </c>
      <c r="H214" s="63">
        <v>5</v>
      </c>
      <c r="I214" s="63">
        <v>699.99</v>
      </c>
      <c r="J214" s="63" t="s">
        <v>34</v>
      </c>
      <c r="K214" s="63" t="s">
        <v>35</v>
      </c>
      <c r="L214" s="63" t="s">
        <v>27</v>
      </c>
      <c r="M214" s="64">
        <v>45352</v>
      </c>
      <c r="N214" s="69">
        <f t="shared" si="3"/>
        <v>3499.95</v>
      </c>
    </row>
    <row r="215" spans="1:14" ht="15.75" customHeight="1" x14ac:dyDescent="0.35">
      <c r="A215" s="66" t="s">
        <v>360</v>
      </c>
      <c r="B215" s="67">
        <v>45707</v>
      </c>
      <c r="C215" s="66" t="s">
        <v>42</v>
      </c>
      <c r="D215" s="66" t="s">
        <v>43</v>
      </c>
      <c r="E215" s="66" t="s">
        <v>44</v>
      </c>
      <c r="F215" s="66" t="s">
        <v>45</v>
      </c>
      <c r="G215" s="66" t="s">
        <v>46</v>
      </c>
      <c r="H215" s="66">
        <v>3</v>
      </c>
      <c r="I215" s="66">
        <v>149.99</v>
      </c>
      <c r="J215" s="66" t="s">
        <v>34</v>
      </c>
      <c r="K215" s="66" t="s">
        <v>21</v>
      </c>
      <c r="L215" s="66" t="s">
        <v>36</v>
      </c>
      <c r="M215" s="67">
        <v>44633</v>
      </c>
      <c r="N215" s="68">
        <f t="shared" si="3"/>
        <v>449.97</v>
      </c>
    </row>
    <row r="216" spans="1:14" ht="15.75" customHeight="1" x14ac:dyDescent="0.35">
      <c r="A216" s="63" t="s">
        <v>361</v>
      </c>
      <c r="B216" s="64">
        <v>45708</v>
      </c>
      <c r="C216" s="63" t="s">
        <v>96</v>
      </c>
      <c r="D216" s="63" t="s">
        <v>97</v>
      </c>
      <c r="E216" s="63" t="s">
        <v>61</v>
      </c>
      <c r="F216" s="63" t="s">
        <v>62</v>
      </c>
      <c r="G216" s="63" t="s">
        <v>19</v>
      </c>
      <c r="H216" s="63">
        <v>3</v>
      </c>
      <c r="I216" s="63">
        <v>899.99</v>
      </c>
      <c r="J216" s="63" t="s">
        <v>20</v>
      </c>
      <c r="K216" s="63" t="s">
        <v>63</v>
      </c>
      <c r="L216" s="63" t="s">
        <v>36</v>
      </c>
      <c r="M216" s="64">
        <v>44613</v>
      </c>
      <c r="N216" s="69">
        <f t="shared" si="3"/>
        <v>2699.9700000000003</v>
      </c>
    </row>
    <row r="217" spans="1:14" ht="15.75" customHeight="1" x14ac:dyDescent="0.35">
      <c r="A217" s="66" t="s">
        <v>362</v>
      </c>
      <c r="B217" s="67">
        <v>45708</v>
      </c>
      <c r="C217" s="66" t="s">
        <v>192</v>
      </c>
      <c r="D217" s="66" t="s">
        <v>193</v>
      </c>
      <c r="E217" s="66" t="s">
        <v>126</v>
      </c>
      <c r="F217" s="66" t="s">
        <v>127</v>
      </c>
      <c r="G217" s="66" t="s">
        <v>46</v>
      </c>
      <c r="H217" s="66">
        <v>3</v>
      </c>
      <c r="I217" s="66">
        <v>199.99</v>
      </c>
      <c r="J217" s="66" t="s">
        <v>20</v>
      </c>
      <c r="K217" s="66" t="s">
        <v>50</v>
      </c>
      <c r="L217" s="66" t="s">
        <v>27</v>
      </c>
      <c r="M217" s="67">
        <v>44823</v>
      </c>
      <c r="N217" s="68">
        <f t="shared" si="3"/>
        <v>599.97</v>
      </c>
    </row>
    <row r="218" spans="1:14" ht="15.75" customHeight="1" x14ac:dyDescent="0.35">
      <c r="A218" s="63" t="s">
        <v>363</v>
      </c>
      <c r="B218" s="64">
        <v>45710</v>
      </c>
      <c r="C218" s="63" t="s">
        <v>55</v>
      </c>
      <c r="D218" s="63" t="s">
        <v>56</v>
      </c>
      <c r="E218" s="63" t="s">
        <v>105</v>
      </c>
      <c r="F218" s="63" t="s">
        <v>106</v>
      </c>
      <c r="G218" s="63" t="s">
        <v>46</v>
      </c>
      <c r="H218" s="63">
        <v>5</v>
      </c>
      <c r="I218" s="63">
        <v>299.99</v>
      </c>
      <c r="J218" s="63" t="s">
        <v>20</v>
      </c>
      <c r="K218" s="63" t="s">
        <v>50</v>
      </c>
      <c r="L218" s="63" t="s">
        <v>36</v>
      </c>
      <c r="M218" s="64">
        <v>45142</v>
      </c>
      <c r="N218" s="69">
        <f t="shared" si="3"/>
        <v>1499.95</v>
      </c>
    </row>
    <row r="219" spans="1:14" ht="15.75" customHeight="1" x14ac:dyDescent="0.35">
      <c r="A219" s="66" t="s">
        <v>364</v>
      </c>
      <c r="B219" s="67">
        <v>45710</v>
      </c>
      <c r="C219" s="66" t="s">
        <v>150</v>
      </c>
      <c r="D219" s="66" t="s">
        <v>151</v>
      </c>
      <c r="E219" s="66" t="s">
        <v>80</v>
      </c>
      <c r="F219" s="66" t="s">
        <v>81</v>
      </c>
      <c r="G219" s="66" t="s">
        <v>19</v>
      </c>
      <c r="H219" s="66">
        <v>1</v>
      </c>
      <c r="I219" s="66">
        <v>699.99</v>
      </c>
      <c r="J219" s="66" t="s">
        <v>34</v>
      </c>
      <c r="K219" s="66" t="s">
        <v>50</v>
      </c>
      <c r="L219" s="66" t="s">
        <v>22</v>
      </c>
      <c r="M219" s="67">
        <v>44934</v>
      </c>
      <c r="N219" s="68">
        <f t="shared" si="3"/>
        <v>699.99</v>
      </c>
    </row>
    <row r="220" spans="1:14" ht="15.75" customHeight="1" x14ac:dyDescent="0.35">
      <c r="A220" s="63" t="s">
        <v>365</v>
      </c>
      <c r="B220" s="64">
        <v>45711</v>
      </c>
      <c r="C220" s="63" t="s">
        <v>246</v>
      </c>
      <c r="D220" s="63" t="s">
        <v>247</v>
      </c>
      <c r="E220" s="63" t="s">
        <v>80</v>
      </c>
      <c r="F220" s="63" t="s">
        <v>81</v>
      </c>
      <c r="G220" s="63" t="s">
        <v>19</v>
      </c>
      <c r="H220" s="63">
        <v>1</v>
      </c>
      <c r="I220" s="63">
        <v>699.99</v>
      </c>
      <c r="J220" s="63" t="s">
        <v>20</v>
      </c>
      <c r="K220" s="63" t="s">
        <v>40</v>
      </c>
      <c r="L220" s="63" t="s">
        <v>27</v>
      </c>
      <c r="M220" s="64">
        <v>44583</v>
      </c>
      <c r="N220" s="69">
        <f t="shared" si="3"/>
        <v>699.99</v>
      </c>
    </row>
    <row r="221" spans="1:14" ht="15.75" customHeight="1" x14ac:dyDescent="0.35">
      <c r="A221" s="66" t="s">
        <v>366</v>
      </c>
      <c r="B221" s="67">
        <v>45711</v>
      </c>
      <c r="C221" s="66" t="s">
        <v>325</v>
      </c>
      <c r="D221" s="66" t="s">
        <v>326</v>
      </c>
      <c r="E221" s="66" t="s">
        <v>44</v>
      </c>
      <c r="F221" s="66" t="s">
        <v>45</v>
      </c>
      <c r="G221" s="66" t="s">
        <v>46</v>
      </c>
      <c r="H221" s="66">
        <v>4</v>
      </c>
      <c r="I221" s="66">
        <v>149.99</v>
      </c>
      <c r="J221" s="66" t="s">
        <v>34</v>
      </c>
      <c r="K221" s="66" t="s">
        <v>40</v>
      </c>
      <c r="L221" s="66" t="s">
        <v>27</v>
      </c>
      <c r="M221" s="67">
        <v>44412</v>
      </c>
      <c r="N221" s="68">
        <f t="shared" si="3"/>
        <v>599.96</v>
      </c>
    </row>
    <row r="222" spans="1:14" ht="15.75" customHeight="1" x14ac:dyDescent="0.35">
      <c r="A222" s="63" t="s">
        <v>367</v>
      </c>
      <c r="B222" s="64">
        <v>45711</v>
      </c>
      <c r="C222" s="63" t="s">
        <v>211</v>
      </c>
      <c r="D222" s="63" t="s">
        <v>212</v>
      </c>
      <c r="E222" s="63" t="s">
        <v>117</v>
      </c>
      <c r="F222" s="63" t="s">
        <v>118</v>
      </c>
      <c r="G222" s="63" t="s">
        <v>19</v>
      </c>
      <c r="H222" s="63">
        <v>5</v>
      </c>
      <c r="I222" s="63">
        <v>89.99</v>
      </c>
      <c r="J222" s="63" t="s">
        <v>34</v>
      </c>
      <c r="K222" s="63" t="s">
        <v>50</v>
      </c>
      <c r="L222" s="63" t="s">
        <v>27</v>
      </c>
      <c r="M222" s="64">
        <v>45140</v>
      </c>
      <c r="N222" s="69">
        <f t="shared" si="3"/>
        <v>449.95</v>
      </c>
    </row>
    <row r="223" spans="1:14" ht="15.75" customHeight="1" x14ac:dyDescent="0.35">
      <c r="A223" s="66" t="s">
        <v>368</v>
      </c>
      <c r="B223" s="67">
        <v>45712</v>
      </c>
      <c r="C223" s="66" t="s">
        <v>138</v>
      </c>
      <c r="D223" s="66" t="s">
        <v>139</v>
      </c>
      <c r="E223" s="66" t="s">
        <v>126</v>
      </c>
      <c r="F223" s="66" t="s">
        <v>127</v>
      </c>
      <c r="G223" s="66" t="s">
        <v>46</v>
      </c>
      <c r="H223" s="66">
        <v>2</v>
      </c>
      <c r="I223" s="66">
        <v>199.99</v>
      </c>
      <c r="J223" s="66" t="s">
        <v>20</v>
      </c>
      <c r="K223" s="66" t="s">
        <v>21</v>
      </c>
      <c r="L223" s="66" t="s">
        <v>27</v>
      </c>
      <c r="M223" s="67">
        <v>44573</v>
      </c>
      <c r="N223" s="68">
        <f t="shared" si="3"/>
        <v>399.98</v>
      </c>
    </row>
    <row r="224" spans="1:14" ht="15.75" customHeight="1" x14ac:dyDescent="0.35">
      <c r="A224" s="63" t="s">
        <v>369</v>
      </c>
      <c r="B224" s="64">
        <v>45715</v>
      </c>
      <c r="C224" s="63" t="s">
        <v>259</v>
      </c>
      <c r="D224" s="63" t="s">
        <v>260</v>
      </c>
      <c r="E224" s="63" t="s">
        <v>31</v>
      </c>
      <c r="F224" s="63" t="s">
        <v>32</v>
      </c>
      <c r="G224" s="63" t="s">
        <v>33</v>
      </c>
      <c r="H224" s="63">
        <v>4</v>
      </c>
      <c r="I224" s="63">
        <v>59.99</v>
      </c>
      <c r="J224" s="63" t="s">
        <v>20</v>
      </c>
      <c r="K224" s="63" t="s">
        <v>50</v>
      </c>
      <c r="L224" s="63" t="s">
        <v>36</v>
      </c>
      <c r="M224" s="64">
        <v>45070</v>
      </c>
      <c r="N224" s="69">
        <f t="shared" si="3"/>
        <v>239.96</v>
      </c>
    </row>
    <row r="225" spans="1:14" ht="15.75" customHeight="1" x14ac:dyDescent="0.35">
      <c r="A225" s="66" t="s">
        <v>370</v>
      </c>
      <c r="B225" s="67">
        <v>45715</v>
      </c>
      <c r="C225" s="66" t="s">
        <v>93</v>
      </c>
      <c r="D225" s="66" t="s">
        <v>94</v>
      </c>
      <c r="E225" s="66" t="s">
        <v>105</v>
      </c>
      <c r="F225" s="66" t="s">
        <v>106</v>
      </c>
      <c r="G225" s="66" t="s">
        <v>46</v>
      </c>
      <c r="H225" s="66">
        <v>2</v>
      </c>
      <c r="I225" s="66">
        <v>299.99</v>
      </c>
      <c r="J225" s="66" t="s">
        <v>34</v>
      </c>
      <c r="K225" s="66" t="s">
        <v>35</v>
      </c>
      <c r="L225" s="66" t="s">
        <v>22</v>
      </c>
      <c r="M225" s="67">
        <v>44576</v>
      </c>
      <c r="N225" s="68">
        <f t="shared" si="3"/>
        <v>599.98</v>
      </c>
    </row>
    <row r="226" spans="1:14" ht="15.75" customHeight="1" x14ac:dyDescent="0.35">
      <c r="A226" s="63" t="s">
        <v>371</v>
      </c>
      <c r="B226" s="64">
        <v>45718</v>
      </c>
      <c r="C226" s="63" t="s">
        <v>55</v>
      </c>
      <c r="D226" s="63" t="s">
        <v>56</v>
      </c>
      <c r="E226" s="63" t="s">
        <v>44</v>
      </c>
      <c r="F226" s="63" t="s">
        <v>45</v>
      </c>
      <c r="G226" s="63" t="s">
        <v>46</v>
      </c>
      <c r="H226" s="63">
        <v>2</v>
      </c>
      <c r="I226" s="63">
        <v>149.99</v>
      </c>
      <c r="J226" s="63" t="s">
        <v>20</v>
      </c>
      <c r="K226" s="63" t="s">
        <v>21</v>
      </c>
      <c r="L226" s="63" t="s">
        <v>22</v>
      </c>
      <c r="M226" s="64">
        <v>45068</v>
      </c>
      <c r="N226" s="69">
        <f t="shared" si="3"/>
        <v>299.98</v>
      </c>
    </row>
    <row r="227" spans="1:14" ht="15.75" customHeight="1" x14ac:dyDescent="0.35">
      <c r="A227" s="66" t="s">
        <v>372</v>
      </c>
      <c r="B227" s="67">
        <v>45720</v>
      </c>
      <c r="C227" s="66" t="s">
        <v>226</v>
      </c>
      <c r="D227" s="66" t="s">
        <v>227</v>
      </c>
      <c r="E227" s="66" t="s">
        <v>80</v>
      </c>
      <c r="F227" s="66" t="s">
        <v>81</v>
      </c>
      <c r="G227" s="66" t="s">
        <v>19</v>
      </c>
      <c r="H227" s="66">
        <v>5</v>
      </c>
      <c r="I227" s="66">
        <v>699.99</v>
      </c>
      <c r="J227" s="66" t="s">
        <v>57</v>
      </c>
      <c r="K227" s="66" t="s">
        <v>63</v>
      </c>
      <c r="L227" s="66" t="s">
        <v>27</v>
      </c>
      <c r="M227" s="67">
        <v>45161</v>
      </c>
      <c r="N227" s="68">
        <f t="shared" si="3"/>
        <v>3499.95</v>
      </c>
    </row>
    <row r="228" spans="1:14" ht="15.75" customHeight="1" x14ac:dyDescent="0.35">
      <c r="A228" s="63" t="s">
        <v>373</v>
      </c>
      <c r="B228" s="64">
        <v>45721</v>
      </c>
      <c r="C228" s="63" t="s">
        <v>75</v>
      </c>
      <c r="D228" s="63" t="s">
        <v>76</v>
      </c>
      <c r="E228" s="63" t="s">
        <v>31</v>
      </c>
      <c r="F228" s="63" t="s">
        <v>32</v>
      </c>
      <c r="G228" s="63" t="s">
        <v>33</v>
      </c>
      <c r="H228" s="63">
        <v>5</v>
      </c>
      <c r="I228" s="63">
        <v>59.99</v>
      </c>
      <c r="J228" s="63" t="s">
        <v>20</v>
      </c>
      <c r="K228" s="63" t="s">
        <v>50</v>
      </c>
      <c r="L228" s="63" t="s">
        <v>27</v>
      </c>
      <c r="M228" s="64">
        <v>45291</v>
      </c>
      <c r="N228" s="69">
        <f t="shared" si="3"/>
        <v>299.95</v>
      </c>
    </row>
    <row r="229" spans="1:14" ht="15.75" customHeight="1" x14ac:dyDescent="0.35">
      <c r="A229" s="66" t="s">
        <v>374</v>
      </c>
      <c r="B229" s="67">
        <v>45723</v>
      </c>
      <c r="C229" s="66" t="s">
        <v>15</v>
      </c>
      <c r="D229" s="66" t="s">
        <v>16</v>
      </c>
      <c r="E229" s="66" t="s">
        <v>117</v>
      </c>
      <c r="F229" s="66" t="s">
        <v>118</v>
      </c>
      <c r="G229" s="66" t="s">
        <v>19</v>
      </c>
      <c r="H229" s="66">
        <v>2</v>
      </c>
      <c r="I229" s="66">
        <v>89.99</v>
      </c>
      <c r="J229" s="66" t="s">
        <v>26</v>
      </c>
      <c r="K229" s="66" t="s">
        <v>50</v>
      </c>
      <c r="L229" s="66" t="s">
        <v>27</v>
      </c>
      <c r="M229" s="67">
        <v>45295</v>
      </c>
      <c r="N229" s="68">
        <f t="shared" si="3"/>
        <v>179.98</v>
      </c>
    </row>
    <row r="230" spans="1:14" ht="15.75" customHeight="1" x14ac:dyDescent="0.35">
      <c r="A230" s="63" t="s">
        <v>375</v>
      </c>
      <c r="B230" s="64">
        <v>45723</v>
      </c>
      <c r="C230" s="63" t="s">
        <v>120</v>
      </c>
      <c r="D230" s="63" t="s">
        <v>121</v>
      </c>
      <c r="E230" s="63" t="s">
        <v>17</v>
      </c>
      <c r="F230" s="63" t="s">
        <v>18</v>
      </c>
      <c r="G230" s="63" t="s">
        <v>19</v>
      </c>
      <c r="H230" s="63">
        <v>5</v>
      </c>
      <c r="I230" s="63">
        <v>249.99</v>
      </c>
      <c r="J230" s="63" t="s">
        <v>20</v>
      </c>
      <c r="K230" s="63" t="s">
        <v>63</v>
      </c>
      <c r="L230" s="63" t="s">
        <v>36</v>
      </c>
      <c r="M230" s="64">
        <v>44540</v>
      </c>
      <c r="N230" s="69">
        <f t="shared" si="3"/>
        <v>1249.95</v>
      </c>
    </row>
    <row r="231" spans="1:14" ht="15.75" customHeight="1" x14ac:dyDescent="0.35">
      <c r="A231" s="66" t="s">
        <v>376</v>
      </c>
      <c r="B231" s="67">
        <v>45724</v>
      </c>
      <c r="C231" s="66" t="s">
        <v>226</v>
      </c>
      <c r="D231" s="66" t="s">
        <v>227</v>
      </c>
      <c r="E231" s="66" t="s">
        <v>44</v>
      </c>
      <c r="F231" s="66" t="s">
        <v>45</v>
      </c>
      <c r="G231" s="66" t="s">
        <v>46</v>
      </c>
      <c r="H231" s="66">
        <v>2</v>
      </c>
      <c r="I231" s="66">
        <v>149.99</v>
      </c>
      <c r="J231" s="66" t="s">
        <v>34</v>
      </c>
      <c r="K231" s="66" t="s">
        <v>21</v>
      </c>
      <c r="L231" s="66" t="s">
        <v>27</v>
      </c>
      <c r="M231" s="67">
        <v>44632</v>
      </c>
      <c r="N231" s="68">
        <f t="shared" si="3"/>
        <v>299.98</v>
      </c>
    </row>
    <row r="232" spans="1:14" ht="15.75" customHeight="1" x14ac:dyDescent="0.35">
      <c r="A232" s="63" t="s">
        <v>377</v>
      </c>
      <c r="B232" s="64">
        <v>45724</v>
      </c>
      <c r="C232" s="63" t="s">
        <v>144</v>
      </c>
      <c r="D232" s="63" t="s">
        <v>145</v>
      </c>
      <c r="E232" s="63" t="s">
        <v>61</v>
      </c>
      <c r="F232" s="63" t="s">
        <v>62</v>
      </c>
      <c r="G232" s="63" t="s">
        <v>19</v>
      </c>
      <c r="H232" s="63">
        <v>5</v>
      </c>
      <c r="I232" s="63">
        <v>899.99</v>
      </c>
      <c r="J232" s="63" t="s">
        <v>34</v>
      </c>
      <c r="K232" s="63" t="s">
        <v>63</v>
      </c>
      <c r="L232" s="63" t="s">
        <v>27</v>
      </c>
      <c r="M232" s="64">
        <v>45389</v>
      </c>
      <c r="N232" s="69">
        <f t="shared" si="3"/>
        <v>4499.95</v>
      </c>
    </row>
    <row r="233" spans="1:14" ht="15.75" customHeight="1" x14ac:dyDescent="0.35">
      <c r="A233" s="66" t="s">
        <v>378</v>
      </c>
      <c r="B233" s="67">
        <v>45724</v>
      </c>
      <c r="C233" s="66" t="s">
        <v>55</v>
      </c>
      <c r="D233" s="66" t="s">
        <v>56</v>
      </c>
      <c r="E233" s="66" t="s">
        <v>44</v>
      </c>
      <c r="F233" s="66" t="s">
        <v>45</v>
      </c>
      <c r="G233" s="66" t="s">
        <v>46</v>
      </c>
      <c r="H233" s="66">
        <v>4</v>
      </c>
      <c r="I233" s="66">
        <v>149.99</v>
      </c>
      <c r="J233" s="66" t="s">
        <v>20</v>
      </c>
      <c r="K233" s="66" t="s">
        <v>21</v>
      </c>
      <c r="L233" s="66" t="s">
        <v>36</v>
      </c>
      <c r="M233" s="67">
        <v>45263</v>
      </c>
      <c r="N233" s="68">
        <f t="shared" si="3"/>
        <v>599.96</v>
      </c>
    </row>
    <row r="234" spans="1:14" ht="15.75" customHeight="1" x14ac:dyDescent="0.35">
      <c r="A234" s="63" t="s">
        <v>379</v>
      </c>
      <c r="B234" s="64">
        <v>45726</v>
      </c>
      <c r="C234" s="63" t="s">
        <v>144</v>
      </c>
      <c r="D234" s="63" t="s">
        <v>145</v>
      </c>
      <c r="E234" s="63" t="s">
        <v>17</v>
      </c>
      <c r="F234" s="63" t="s">
        <v>18</v>
      </c>
      <c r="G234" s="63" t="s">
        <v>19</v>
      </c>
      <c r="H234" s="63">
        <v>1</v>
      </c>
      <c r="I234" s="63">
        <v>249.99</v>
      </c>
      <c r="J234" s="63" t="s">
        <v>20</v>
      </c>
      <c r="K234" s="63" t="s">
        <v>40</v>
      </c>
      <c r="L234" s="63" t="s">
        <v>36</v>
      </c>
      <c r="M234" s="64">
        <v>45117</v>
      </c>
      <c r="N234" s="69">
        <f t="shared" si="3"/>
        <v>249.99</v>
      </c>
    </row>
    <row r="235" spans="1:14" ht="15.75" customHeight="1" x14ac:dyDescent="0.35">
      <c r="A235" s="66" t="s">
        <v>380</v>
      </c>
      <c r="B235" s="67">
        <v>45734</v>
      </c>
      <c r="C235" s="66" t="s">
        <v>192</v>
      </c>
      <c r="D235" s="66" t="s">
        <v>193</v>
      </c>
      <c r="E235" s="66" t="s">
        <v>31</v>
      </c>
      <c r="F235" s="66" t="s">
        <v>32</v>
      </c>
      <c r="G235" s="66" t="s">
        <v>33</v>
      </c>
      <c r="H235" s="66">
        <v>2</v>
      </c>
      <c r="I235" s="66">
        <v>59.99</v>
      </c>
      <c r="J235" s="66" t="s">
        <v>26</v>
      </c>
      <c r="K235" s="66" t="s">
        <v>50</v>
      </c>
      <c r="L235" s="66" t="s">
        <v>22</v>
      </c>
      <c r="M235" s="67">
        <v>45193</v>
      </c>
      <c r="N235" s="68">
        <f t="shared" si="3"/>
        <v>119.98</v>
      </c>
    </row>
    <row r="236" spans="1:14" ht="15.75" customHeight="1" x14ac:dyDescent="0.35">
      <c r="A236" s="63" t="s">
        <v>381</v>
      </c>
      <c r="B236" s="64">
        <v>45737</v>
      </c>
      <c r="C236" s="63" t="s">
        <v>132</v>
      </c>
      <c r="D236" s="63" t="s">
        <v>133</v>
      </c>
      <c r="E236" s="63" t="s">
        <v>44</v>
      </c>
      <c r="F236" s="63" t="s">
        <v>45</v>
      </c>
      <c r="G236" s="63" t="s">
        <v>46</v>
      </c>
      <c r="H236" s="63">
        <v>2</v>
      </c>
      <c r="I236" s="63">
        <v>149.99</v>
      </c>
      <c r="J236" s="63" t="s">
        <v>20</v>
      </c>
      <c r="K236" s="63" t="s">
        <v>50</v>
      </c>
      <c r="L236" s="63" t="s">
        <v>27</v>
      </c>
      <c r="M236" s="64">
        <v>45233</v>
      </c>
      <c r="N236" s="69">
        <f t="shared" si="3"/>
        <v>299.98</v>
      </c>
    </row>
    <row r="237" spans="1:14" ht="15.75" customHeight="1" x14ac:dyDescent="0.35">
      <c r="A237" s="66" t="s">
        <v>382</v>
      </c>
      <c r="B237" s="67">
        <v>45737</v>
      </c>
      <c r="C237" s="66" t="s">
        <v>150</v>
      </c>
      <c r="D237" s="66" t="s">
        <v>151</v>
      </c>
      <c r="E237" s="66" t="s">
        <v>61</v>
      </c>
      <c r="F237" s="66" t="s">
        <v>62</v>
      </c>
      <c r="G237" s="66" t="s">
        <v>19</v>
      </c>
      <c r="H237" s="66">
        <v>3</v>
      </c>
      <c r="I237" s="66">
        <v>899.99</v>
      </c>
      <c r="J237" s="66" t="s">
        <v>57</v>
      </c>
      <c r="K237" s="66" t="s">
        <v>40</v>
      </c>
      <c r="L237" s="66" t="s">
        <v>27</v>
      </c>
      <c r="M237" s="67">
        <v>44876</v>
      </c>
      <c r="N237" s="68">
        <f t="shared" si="3"/>
        <v>2699.9700000000003</v>
      </c>
    </row>
    <row r="238" spans="1:14" ht="15.75" customHeight="1" x14ac:dyDescent="0.35">
      <c r="A238" s="63" t="s">
        <v>383</v>
      </c>
      <c r="B238" s="64">
        <v>45737</v>
      </c>
      <c r="C238" s="63" t="s">
        <v>48</v>
      </c>
      <c r="D238" s="63" t="s">
        <v>49</v>
      </c>
      <c r="E238" s="63" t="s">
        <v>61</v>
      </c>
      <c r="F238" s="63" t="s">
        <v>62</v>
      </c>
      <c r="G238" s="63" t="s">
        <v>19</v>
      </c>
      <c r="H238" s="63">
        <v>3</v>
      </c>
      <c r="I238" s="63">
        <v>899.99</v>
      </c>
      <c r="J238" s="63" t="s">
        <v>34</v>
      </c>
      <c r="K238" s="63" t="s">
        <v>40</v>
      </c>
      <c r="L238" s="63" t="s">
        <v>22</v>
      </c>
      <c r="M238" s="64">
        <v>44975</v>
      </c>
      <c r="N238" s="69">
        <f t="shared" si="3"/>
        <v>2699.9700000000003</v>
      </c>
    </row>
    <row r="239" spans="1:14" ht="15.75" customHeight="1" x14ac:dyDescent="0.35">
      <c r="A239" s="66" t="s">
        <v>384</v>
      </c>
      <c r="B239" s="67">
        <v>45739</v>
      </c>
      <c r="C239" s="66" t="s">
        <v>15</v>
      </c>
      <c r="D239" s="66" t="s">
        <v>16</v>
      </c>
      <c r="E239" s="66" t="s">
        <v>105</v>
      </c>
      <c r="F239" s="66" t="s">
        <v>106</v>
      </c>
      <c r="G239" s="66" t="s">
        <v>46</v>
      </c>
      <c r="H239" s="66">
        <v>3</v>
      </c>
      <c r="I239" s="66">
        <v>299.99</v>
      </c>
      <c r="J239" s="66" t="s">
        <v>26</v>
      </c>
      <c r="K239" s="66" t="s">
        <v>50</v>
      </c>
      <c r="L239" s="66" t="s">
        <v>27</v>
      </c>
      <c r="M239" s="67">
        <v>45234</v>
      </c>
      <c r="N239" s="68">
        <f t="shared" si="3"/>
        <v>899.97</v>
      </c>
    </row>
    <row r="240" spans="1:14" ht="15.75" customHeight="1" x14ac:dyDescent="0.35">
      <c r="A240" s="63" t="s">
        <v>385</v>
      </c>
      <c r="B240" s="64">
        <v>45740</v>
      </c>
      <c r="C240" s="63" t="s">
        <v>386</v>
      </c>
      <c r="D240" s="63" t="s">
        <v>387</v>
      </c>
      <c r="E240" s="63" t="s">
        <v>44</v>
      </c>
      <c r="F240" s="63" t="s">
        <v>45</v>
      </c>
      <c r="G240" s="63" t="s">
        <v>46</v>
      </c>
      <c r="H240" s="63">
        <v>4</v>
      </c>
      <c r="I240" s="63">
        <v>149.99</v>
      </c>
      <c r="J240" s="63" t="s">
        <v>34</v>
      </c>
      <c r="K240" s="63" t="s">
        <v>50</v>
      </c>
      <c r="L240" s="63" t="s">
        <v>36</v>
      </c>
      <c r="M240" s="64">
        <v>44560</v>
      </c>
      <c r="N240" s="69">
        <f t="shared" si="3"/>
        <v>599.96</v>
      </c>
    </row>
    <row r="241" spans="1:14" ht="15.75" customHeight="1" x14ac:dyDescent="0.35">
      <c r="A241" s="66" t="s">
        <v>388</v>
      </c>
      <c r="B241" s="67">
        <v>45743</v>
      </c>
      <c r="C241" s="66" t="s">
        <v>102</v>
      </c>
      <c r="D241" s="66" t="s">
        <v>103</v>
      </c>
      <c r="E241" s="66" t="s">
        <v>114</v>
      </c>
      <c r="F241" s="66" t="s">
        <v>115</v>
      </c>
      <c r="G241" s="66" t="s">
        <v>33</v>
      </c>
      <c r="H241" s="66">
        <v>4</v>
      </c>
      <c r="I241" s="66">
        <v>79.989999999999995</v>
      </c>
      <c r="J241" s="66" t="s">
        <v>26</v>
      </c>
      <c r="K241" s="66" t="s">
        <v>21</v>
      </c>
      <c r="L241" s="66" t="s">
        <v>22</v>
      </c>
      <c r="M241" s="67">
        <v>45288</v>
      </c>
      <c r="N241" s="68">
        <f t="shared" si="3"/>
        <v>319.95999999999998</v>
      </c>
    </row>
    <row r="242" spans="1:14" ht="15.75" customHeight="1" x14ac:dyDescent="0.35">
      <c r="A242" s="63" t="s">
        <v>389</v>
      </c>
      <c r="B242" s="64">
        <v>45745</v>
      </c>
      <c r="C242" s="63" t="s">
        <v>185</v>
      </c>
      <c r="D242" s="63" t="s">
        <v>186</v>
      </c>
      <c r="E242" s="63" t="s">
        <v>117</v>
      </c>
      <c r="F242" s="63" t="s">
        <v>118</v>
      </c>
      <c r="G242" s="63" t="s">
        <v>19</v>
      </c>
      <c r="H242" s="63">
        <v>5</v>
      </c>
      <c r="I242" s="63">
        <v>89.99</v>
      </c>
      <c r="J242" s="63" t="s">
        <v>34</v>
      </c>
      <c r="K242" s="63" t="s">
        <v>35</v>
      </c>
      <c r="L242" s="63" t="s">
        <v>22</v>
      </c>
      <c r="M242" s="64">
        <v>44704</v>
      </c>
      <c r="N242" s="69">
        <f t="shared" si="3"/>
        <v>449.95</v>
      </c>
    </row>
    <row r="243" spans="1:14" ht="15.75" customHeight="1" x14ac:dyDescent="0.35">
      <c r="A243" s="66" t="s">
        <v>390</v>
      </c>
      <c r="B243" s="67">
        <v>45746</v>
      </c>
      <c r="C243" s="66" t="s">
        <v>93</v>
      </c>
      <c r="D243" s="66" t="s">
        <v>94</v>
      </c>
      <c r="E243" s="66" t="s">
        <v>44</v>
      </c>
      <c r="F243" s="66" t="s">
        <v>45</v>
      </c>
      <c r="G243" s="66" t="s">
        <v>46</v>
      </c>
      <c r="H243" s="66">
        <v>3</v>
      </c>
      <c r="I243" s="66">
        <v>149.99</v>
      </c>
      <c r="J243" s="66" t="s">
        <v>34</v>
      </c>
      <c r="K243" s="66" t="s">
        <v>21</v>
      </c>
      <c r="L243" s="66" t="s">
        <v>36</v>
      </c>
      <c r="M243" s="67">
        <v>45171</v>
      </c>
      <c r="N243" s="68">
        <f t="shared" si="3"/>
        <v>449.97</v>
      </c>
    </row>
    <row r="244" spans="1:14" ht="15.75" customHeight="1" x14ac:dyDescent="0.35">
      <c r="A244" s="63" t="s">
        <v>391</v>
      </c>
      <c r="B244" s="64">
        <v>45746</v>
      </c>
      <c r="C244" s="63" t="s">
        <v>65</v>
      </c>
      <c r="D244" s="63" t="s">
        <v>66</v>
      </c>
      <c r="E244" s="63" t="s">
        <v>117</v>
      </c>
      <c r="F244" s="63" t="s">
        <v>118</v>
      </c>
      <c r="G244" s="63" t="s">
        <v>19</v>
      </c>
      <c r="H244" s="63">
        <v>2</v>
      </c>
      <c r="I244" s="63">
        <v>89.99</v>
      </c>
      <c r="J244" s="63" t="s">
        <v>57</v>
      </c>
      <c r="K244" s="63" t="s">
        <v>50</v>
      </c>
      <c r="L244" s="63" t="s">
        <v>27</v>
      </c>
      <c r="M244" s="64">
        <v>44522</v>
      </c>
      <c r="N244" s="69">
        <f t="shared" si="3"/>
        <v>179.98</v>
      </c>
    </row>
    <row r="245" spans="1:14" ht="15.75" customHeight="1" x14ac:dyDescent="0.35">
      <c r="A245" s="66" t="s">
        <v>392</v>
      </c>
      <c r="B245" s="67">
        <v>45748</v>
      </c>
      <c r="C245" s="66" t="s">
        <v>102</v>
      </c>
      <c r="D245" s="66" t="s">
        <v>103</v>
      </c>
      <c r="E245" s="66" t="s">
        <v>80</v>
      </c>
      <c r="F245" s="66" t="s">
        <v>81</v>
      </c>
      <c r="G245" s="66" t="s">
        <v>19</v>
      </c>
      <c r="H245" s="66">
        <v>2</v>
      </c>
      <c r="I245" s="66">
        <v>699.99</v>
      </c>
      <c r="J245" s="66" t="s">
        <v>34</v>
      </c>
      <c r="K245" s="66" t="s">
        <v>40</v>
      </c>
      <c r="L245" s="66" t="s">
        <v>36</v>
      </c>
      <c r="M245" s="67">
        <v>44618</v>
      </c>
      <c r="N245" s="68">
        <f t="shared" si="3"/>
        <v>1399.98</v>
      </c>
    </row>
    <row r="246" spans="1:14" ht="15.75" customHeight="1" x14ac:dyDescent="0.35">
      <c r="A246" s="63" t="s">
        <v>393</v>
      </c>
      <c r="B246" s="64">
        <v>45749</v>
      </c>
      <c r="C246" s="63" t="s">
        <v>123</v>
      </c>
      <c r="D246" s="63" t="s">
        <v>124</v>
      </c>
      <c r="E246" s="63" t="s">
        <v>61</v>
      </c>
      <c r="F246" s="63" t="s">
        <v>62</v>
      </c>
      <c r="G246" s="63" t="s">
        <v>19</v>
      </c>
      <c r="H246" s="63">
        <v>3</v>
      </c>
      <c r="I246" s="63">
        <v>899.99</v>
      </c>
      <c r="J246" s="63" t="s">
        <v>20</v>
      </c>
      <c r="K246" s="63" t="s">
        <v>21</v>
      </c>
      <c r="L246" s="63" t="s">
        <v>36</v>
      </c>
      <c r="M246" s="64">
        <v>44953</v>
      </c>
      <c r="N246" s="69">
        <f t="shared" si="3"/>
        <v>2699.9700000000003</v>
      </c>
    </row>
    <row r="247" spans="1:14" ht="15.75" customHeight="1" x14ac:dyDescent="0.35">
      <c r="A247" s="66" t="s">
        <v>394</v>
      </c>
      <c r="B247" s="67">
        <v>45755</v>
      </c>
      <c r="C247" s="66" t="s">
        <v>93</v>
      </c>
      <c r="D247" s="66" t="s">
        <v>94</v>
      </c>
      <c r="E247" s="66" t="s">
        <v>114</v>
      </c>
      <c r="F247" s="66" t="s">
        <v>115</v>
      </c>
      <c r="G247" s="66" t="s">
        <v>33</v>
      </c>
      <c r="H247" s="66">
        <v>3</v>
      </c>
      <c r="I247" s="66">
        <v>79.989999999999995</v>
      </c>
      <c r="J247" s="66" t="s">
        <v>26</v>
      </c>
      <c r="K247" s="66" t="s">
        <v>40</v>
      </c>
      <c r="L247" s="66" t="s">
        <v>22</v>
      </c>
      <c r="M247" s="67">
        <v>44511</v>
      </c>
      <c r="N247" s="68">
        <f t="shared" si="3"/>
        <v>239.96999999999997</v>
      </c>
    </row>
    <row r="248" spans="1:14" ht="15.75" customHeight="1" x14ac:dyDescent="0.35">
      <c r="A248" s="63" t="s">
        <v>395</v>
      </c>
      <c r="B248" s="64">
        <v>45756</v>
      </c>
      <c r="C248" s="63" t="s">
        <v>59</v>
      </c>
      <c r="D248" s="63" t="s">
        <v>60</v>
      </c>
      <c r="E248" s="63" t="s">
        <v>117</v>
      </c>
      <c r="F248" s="63" t="s">
        <v>118</v>
      </c>
      <c r="G248" s="63" t="s">
        <v>19</v>
      </c>
      <c r="H248" s="63">
        <v>1</v>
      </c>
      <c r="I248" s="63">
        <v>89.99</v>
      </c>
      <c r="J248" s="63" t="s">
        <v>57</v>
      </c>
      <c r="K248" s="63" t="s">
        <v>63</v>
      </c>
      <c r="L248" s="63" t="s">
        <v>22</v>
      </c>
      <c r="M248" s="64">
        <v>45346</v>
      </c>
      <c r="N248" s="69">
        <f t="shared" si="3"/>
        <v>89.99</v>
      </c>
    </row>
    <row r="249" spans="1:14" ht="15.75" customHeight="1" x14ac:dyDescent="0.35">
      <c r="A249" s="66" t="s">
        <v>396</v>
      </c>
      <c r="B249" s="67">
        <v>45758</v>
      </c>
      <c r="C249" s="66" t="s">
        <v>293</v>
      </c>
      <c r="D249" s="66" t="s">
        <v>294</v>
      </c>
      <c r="E249" s="66" t="s">
        <v>80</v>
      </c>
      <c r="F249" s="66" t="s">
        <v>81</v>
      </c>
      <c r="G249" s="66" t="s">
        <v>19</v>
      </c>
      <c r="H249" s="66">
        <v>3</v>
      </c>
      <c r="I249" s="66">
        <v>699.99</v>
      </c>
      <c r="J249" s="66" t="s">
        <v>34</v>
      </c>
      <c r="K249" s="66" t="s">
        <v>40</v>
      </c>
      <c r="L249" s="66" t="s">
        <v>22</v>
      </c>
      <c r="M249" s="67">
        <v>44909</v>
      </c>
      <c r="N249" s="68">
        <f t="shared" si="3"/>
        <v>2099.9700000000003</v>
      </c>
    </row>
    <row r="250" spans="1:14" ht="15.75" customHeight="1" x14ac:dyDescent="0.35">
      <c r="A250" s="63" t="s">
        <v>397</v>
      </c>
      <c r="B250" s="64">
        <v>45758</v>
      </c>
      <c r="C250" s="63" t="s">
        <v>226</v>
      </c>
      <c r="D250" s="63" t="s">
        <v>227</v>
      </c>
      <c r="E250" s="63" t="s">
        <v>117</v>
      </c>
      <c r="F250" s="63" t="s">
        <v>118</v>
      </c>
      <c r="G250" s="63" t="s">
        <v>19</v>
      </c>
      <c r="H250" s="63">
        <v>2</v>
      </c>
      <c r="I250" s="63">
        <v>89.99</v>
      </c>
      <c r="J250" s="63" t="s">
        <v>57</v>
      </c>
      <c r="K250" s="63" t="s">
        <v>63</v>
      </c>
      <c r="L250" s="63" t="s">
        <v>22</v>
      </c>
      <c r="M250" s="64">
        <v>45088</v>
      </c>
      <c r="N250" s="69">
        <f t="shared" si="3"/>
        <v>179.98</v>
      </c>
    </row>
    <row r="251" spans="1:14" ht="15.75" customHeight="1" x14ac:dyDescent="0.35">
      <c r="A251" s="71" t="s">
        <v>398</v>
      </c>
      <c r="B251" s="72">
        <v>45758</v>
      </c>
      <c r="C251" s="71" t="s">
        <v>138</v>
      </c>
      <c r="D251" s="71" t="s">
        <v>139</v>
      </c>
      <c r="E251" s="71" t="s">
        <v>117</v>
      </c>
      <c r="F251" s="71" t="s">
        <v>118</v>
      </c>
      <c r="G251" s="71" t="s">
        <v>19</v>
      </c>
      <c r="H251" s="71">
        <v>3</v>
      </c>
      <c r="I251" s="71">
        <v>89.99</v>
      </c>
      <c r="J251" s="71" t="s">
        <v>57</v>
      </c>
      <c r="K251" s="71" t="s">
        <v>40</v>
      </c>
      <c r="L251" s="71" t="s">
        <v>27</v>
      </c>
      <c r="M251" s="72">
        <v>44878</v>
      </c>
      <c r="N251" s="73">
        <f>I251*H251</f>
        <v>269.96999999999997</v>
      </c>
    </row>
    <row r="252" spans="1:14" ht="15.75" customHeight="1" x14ac:dyDescent="0.3"/>
    <row r="253" spans="1:14" ht="15.75" customHeight="1" x14ac:dyDescent="0.3"/>
    <row r="254" spans="1:14" ht="15.75" customHeight="1" x14ac:dyDescent="0.3"/>
    <row r="255" spans="1:14" ht="15.75" customHeight="1" x14ac:dyDescent="0.3"/>
    <row r="256" spans="1: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511811023622047" footer="0.511811023622047"/>
  <pageSetup orientation="landscape"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8"/>
  <sheetViews>
    <sheetView showGridLines="0" zoomScaleNormal="100" workbookViewId="0">
      <selection activeCell="B33" sqref="B33"/>
    </sheetView>
  </sheetViews>
  <sheetFormatPr defaultColWidth="8.6640625" defaultRowHeight="14.4" x14ac:dyDescent="0.3"/>
  <cols>
    <col min="1" max="1" width="23.44140625" customWidth="1"/>
    <col min="2" max="2" width="20.5546875" customWidth="1"/>
    <col min="3" max="3" width="18.33203125" customWidth="1"/>
    <col min="4" max="4" width="32" customWidth="1"/>
    <col min="5" max="5" width="18" customWidth="1"/>
    <col min="6" max="6" width="12" customWidth="1"/>
    <col min="7" max="7" width="14" customWidth="1"/>
  </cols>
  <sheetData>
    <row r="1" spans="1:4" ht="24" customHeight="1" x14ac:dyDescent="0.3">
      <c r="A1" s="56" t="s">
        <v>399</v>
      </c>
      <c r="B1" s="56"/>
    </row>
    <row r="2" spans="1:4" ht="21.75" customHeight="1" x14ac:dyDescent="0.3">
      <c r="A2" s="43" t="s">
        <v>400</v>
      </c>
      <c r="B2" s="43" t="s">
        <v>401</v>
      </c>
    </row>
    <row r="3" spans="1:4" ht="15.75" customHeight="1" x14ac:dyDescent="0.3">
      <c r="A3" s="44" t="s">
        <v>402</v>
      </c>
      <c r="B3" s="45">
        <f ca="1">TODAY()</f>
        <v>46173</v>
      </c>
    </row>
    <row r="4" spans="1:4" ht="15.75" customHeight="1" x14ac:dyDescent="0.3">
      <c r="A4" s="46" t="s">
        <v>403</v>
      </c>
      <c r="B4" s="47">
        <f ca="1">NOW()</f>
        <v>46173.633598958331</v>
      </c>
    </row>
    <row r="5" spans="1:4" ht="15.75" customHeight="1" x14ac:dyDescent="0.3">
      <c r="A5" s="44" t="s">
        <v>404</v>
      </c>
      <c r="B5" s="48">
        <f>DATEDIF(MIN('[1]Raw Data'!B2:B251),MAX('[1]Raw Data'!B2:B251),"D")</f>
        <v>365</v>
      </c>
    </row>
    <row r="6" spans="1:4" ht="15.75" customHeight="1" x14ac:dyDescent="0.3">
      <c r="A6" s="46" t="s">
        <v>405</v>
      </c>
      <c r="B6" s="49">
        <f ca="1">EOMONTH(TODAY(),0)</f>
        <v>46173</v>
      </c>
    </row>
    <row r="7" spans="1:4" ht="15.75" customHeight="1" x14ac:dyDescent="0.3">
      <c r="A7" s="44" t="s">
        <v>406</v>
      </c>
      <c r="B7" s="50">
        <f ca="1">NOW()</f>
        <v>46173.633598958331</v>
      </c>
    </row>
    <row r="8" spans="1:4" ht="15.75" customHeight="1" x14ac:dyDescent="0.3"/>
    <row r="9" spans="1:4" ht="15.75" customHeight="1" x14ac:dyDescent="0.3">
      <c r="A9" s="61" t="s">
        <v>444</v>
      </c>
      <c r="B9" s="61"/>
      <c r="C9" s="61"/>
    </row>
    <row r="10" spans="1:4" ht="15.75" customHeight="1" x14ac:dyDescent="0.3">
      <c r="A10" s="57" t="s">
        <v>445</v>
      </c>
      <c r="B10" s="57" t="s">
        <v>401</v>
      </c>
    </row>
    <row r="11" spans="1:4" ht="15.75" customHeight="1" x14ac:dyDescent="0.3">
      <c r="A11" s="58" t="s">
        <v>446</v>
      </c>
      <c r="B11" s="59">
        <f>AVERAGE('Raw Data'!N2:N251)</f>
        <v>916.76988000000131</v>
      </c>
    </row>
    <row r="12" spans="1:4" x14ac:dyDescent="0.3">
      <c r="A12" s="58" t="s">
        <v>447</v>
      </c>
      <c r="B12" s="60">
        <v>250</v>
      </c>
    </row>
    <row r="14" spans="1:4" ht="24" customHeight="1" x14ac:dyDescent="0.3">
      <c r="A14" s="1" t="s">
        <v>448</v>
      </c>
      <c r="B14" s="1"/>
      <c r="C14" s="1"/>
      <c r="D14" s="1"/>
    </row>
    <row r="15" spans="1:4" ht="21.75" customHeight="1" x14ac:dyDescent="0.3">
      <c r="A15" s="12" t="s">
        <v>422</v>
      </c>
      <c r="B15" s="12" t="s">
        <v>449</v>
      </c>
      <c r="C15" s="12" t="s">
        <v>450</v>
      </c>
      <c r="D15" s="12" t="s">
        <v>451</v>
      </c>
    </row>
    <row r="16" spans="1:4" ht="15" customHeight="1" x14ac:dyDescent="0.3">
      <c r="A16" s="13" t="s">
        <v>452</v>
      </c>
      <c r="B16" s="14">
        <f>B11</f>
        <v>916.76988000000131</v>
      </c>
      <c r="C16" s="15">
        <f>B12</f>
        <v>250</v>
      </c>
      <c r="D16" s="16">
        <f>B16*C16</f>
        <v>229192.47000000032</v>
      </c>
    </row>
    <row r="17" spans="1:4" ht="15" customHeight="1" x14ac:dyDescent="0.3">
      <c r="A17" s="17" t="s">
        <v>453</v>
      </c>
      <c r="B17" s="18">
        <f>B11*1.2</f>
        <v>1100.1238560000015</v>
      </c>
      <c r="C17" s="19">
        <f>B12*1.1</f>
        <v>275</v>
      </c>
      <c r="D17" s="20">
        <f>B17*C17</f>
        <v>302534.06040000042</v>
      </c>
    </row>
    <row r="18" spans="1:4" x14ac:dyDescent="0.3">
      <c r="A18" s="21" t="s">
        <v>454</v>
      </c>
      <c r="B18" s="22">
        <f>B11*0.85</f>
        <v>779.25439800000106</v>
      </c>
      <c r="C18" s="23">
        <f>B12*0.9</f>
        <v>225</v>
      </c>
      <c r="D18" s="24">
        <f>B18*C18</f>
        <v>175332.23955000023</v>
      </c>
    </row>
    <row r="19" spans="1:4" x14ac:dyDescent="0.3">
      <c r="A19" s="25" t="s">
        <v>455</v>
      </c>
      <c r="B19" s="26">
        <f>B11*1.35</f>
        <v>1237.6393380000018</v>
      </c>
      <c r="C19" s="27">
        <f>B12*1.2</f>
        <v>300</v>
      </c>
      <c r="D19" s="28">
        <f>B19*C19</f>
        <v>371291.80140000052</v>
      </c>
    </row>
    <row r="20" spans="1:4" ht="24" customHeight="1" x14ac:dyDescent="0.3">
      <c r="A20" s="29" t="s">
        <v>456</v>
      </c>
      <c r="B20" s="30">
        <f>B11*0.75</f>
        <v>687.57741000000101</v>
      </c>
      <c r="C20" s="31">
        <f>B12*0.8</f>
        <v>200</v>
      </c>
      <c r="D20" s="32">
        <f>B20*C20</f>
        <v>137515.48200000019</v>
      </c>
    </row>
    <row r="21" spans="1:4" ht="10.8" customHeight="1" x14ac:dyDescent="0.3"/>
    <row r="22" spans="1:4" ht="30" customHeight="1" x14ac:dyDescent="0.3">
      <c r="A22" s="51" t="s">
        <v>474</v>
      </c>
      <c r="B22" s="52"/>
      <c r="C22" s="53"/>
    </row>
    <row r="23" spans="1:4" ht="15.75" customHeight="1" x14ac:dyDescent="0.3">
      <c r="A23" s="43" t="s">
        <v>457</v>
      </c>
      <c r="B23" s="43" t="s">
        <v>458</v>
      </c>
      <c r="C23" s="43" t="s">
        <v>459</v>
      </c>
    </row>
    <row r="24" spans="1:4" ht="15.75" customHeight="1" x14ac:dyDescent="0.3">
      <c r="A24" s="33" t="s">
        <v>460</v>
      </c>
      <c r="B24" s="34" t="s">
        <v>461</v>
      </c>
      <c r="C24" s="35">
        <f>B25*C27</f>
        <v>229192.5</v>
      </c>
    </row>
    <row r="25" spans="1:4" ht="15.75" customHeight="1" x14ac:dyDescent="0.3">
      <c r="A25" s="33" t="s">
        <v>462</v>
      </c>
      <c r="B25" s="36">
        <v>916.77</v>
      </c>
      <c r="C25" s="14">
        <f>B25</f>
        <v>916.77</v>
      </c>
    </row>
    <row r="26" spans="1:4" ht="15.75" customHeight="1" x14ac:dyDescent="0.3">
      <c r="A26" s="33" t="s">
        <v>463</v>
      </c>
      <c r="B26" s="34" t="s">
        <v>464</v>
      </c>
      <c r="C26" s="37">
        <v>250000</v>
      </c>
    </row>
    <row r="27" spans="1:4" ht="15.75" customHeight="1" x14ac:dyDescent="0.3">
      <c r="A27" s="33" t="s">
        <v>465</v>
      </c>
      <c r="B27" s="34" t="s">
        <v>466</v>
      </c>
      <c r="C27" s="38">
        <v>250</v>
      </c>
    </row>
    <row r="28" spans="1:4" ht="22.8" customHeight="1" x14ac:dyDescent="0.3"/>
    <row r="29" spans="1:4" ht="21.6" customHeight="1" x14ac:dyDescent="0.3">
      <c r="A29" s="54" t="s">
        <v>467</v>
      </c>
      <c r="B29" s="55"/>
      <c r="C29" s="55"/>
      <c r="D29" s="55"/>
    </row>
    <row r="30" spans="1:4" ht="15.75" customHeight="1" x14ac:dyDescent="0.3">
      <c r="A30" s="43" t="s">
        <v>400</v>
      </c>
      <c r="B30" s="43" t="s">
        <v>468</v>
      </c>
      <c r="C30" s="43" t="s">
        <v>469</v>
      </c>
      <c r="D30" s="43" t="s">
        <v>470</v>
      </c>
    </row>
    <row r="31" spans="1:4" ht="15.75" customHeight="1" x14ac:dyDescent="0.3">
      <c r="A31" s="13" t="s">
        <v>423</v>
      </c>
      <c r="B31" s="14">
        <f>AVERAGE('Raw Data'!N2:N251)</f>
        <v>916.76988000000131</v>
      </c>
      <c r="C31" s="39">
        <f>C26/C27</f>
        <v>1000</v>
      </c>
      <c r="D31" s="14">
        <f>C31-B31</f>
        <v>83.230119999998692</v>
      </c>
    </row>
    <row r="32" spans="1:4" ht="15.75" customHeight="1" x14ac:dyDescent="0.3">
      <c r="A32" s="40" t="s">
        <v>425</v>
      </c>
      <c r="B32" s="41">
        <f>AVERAGE('Raw Data'!N2:N251)*250</f>
        <v>229192.47000000032</v>
      </c>
      <c r="C32" s="39">
        <f>C26</f>
        <v>250000</v>
      </c>
      <c r="D32" s="41">
        <f>C32-B32</f>
        <v>20807.529999999679</v>
      </c>
    </row>
    <row r="33" spans="1:4" x14ac:dyDescent="0.3">
      <c r="A33" s="13" t="s">
        <v>415</v>
      </c>
      <c r="B33" s="15">
        <v>250</v>
      </c>
      <c r="C33" s="42">
        <v>250</v>
      </c>
      <c r="D33" s="15">
        <v>0</v>
      </c>
    </row>
    <row r="35" spans="1:4" ht="24" customHeight="1" x14ac:dyDescent="0.3">
      <c r="A35" s="56" t="s">
        <v>475</v>
      </c>
      <c r="B35" s="56"/>
      <c r="C35" s="56"/>
      <c r="D35" s="56"/>
    </row>
    <row r="36" spans="1:4" ht="21.75" customHeight="1" x14ac:dyDescent="0.3">
      <c r="A36" s="7" t="s">
        <v>413</v>
      </c>
      <c r="B36" s="7" t="s">
        <v>414</v>
      </c>
      <c r="C36" s="7" t="s">
        <v>415</v>
      </c>
      <c r="D36" s="7" t="s">
        <v>416</v>
      </c>
    </row>
    <row r="37" spans="1:4" ht="15.75" customHeight="1" x14ac:dyDescent="0.3">
      <c r="A37" s="5" t="s">
        <v>62</v>
      </c>
      <c r="B37" s="5">
        <f>SUMIF('Raw Data'!F:F,A37,'Raw Data'!H:H)</f>
        <v>75</v>
      </c>
      <c r="C37" s="5">
        <f>COUNTIF('Raw Data'!F:F,A37)</f>
        <v>24</v>
      </c>
      <c r="D37" s="6">
        <f>SUMIF('Raw Data'!F:F,A37,'Raw Data'!N:N)</f>
        <v>67499.25</v>
      </c>
    </row>
    <row r="38" spans="1:4" ht="15.75" customHeight="1" x14ac:dyDescent="0.3">
      <c r="A38" s="3" t="s">
        <v>81</v>
      </c>
      <c r="B38" s="3">
        <f>SUMIF('Raw Data'!F:F,A38,'Raw Data'!H:H)</f>
        <v>96</v>
      </c>
      <c r="C38" s="3">
        <f>COUNTIF('Raw Data'!F:F,A38)</f>
        <v>31</v>
      </c>
      <c r="D38" s="4">
        <f>SUMIF('Raw Data'!F:F,A38,'Raw Data'!N:N)</f>
        <v>67199.039999999994</v>
      </c>
    </row>
    <row r="39" spans="1:4" ht="15.75" customHeight="1" x14ac:dyDescent="0.3">
      <c r="A39" s="5" t="s">
        <v>53</v>
      </c>
      <c r="B39" s="5">
        <f>SUMIF('Raw Data'!F:F,A39,'Raw Data'!H:H)</f>
        <v>47</v>
      </c>
      <c r="C39" s="5">
        <f>COUNTIF('Raw Data'!F:F,A39)</f>
        <v>16</v>
      </c>
      <c r="D39" s="6">
        <f>SUMIF('Raw Data'!F:F,A39,'Raw Data'!N:N)</f>
        <v>7049.5299999999988</v>
      </c>
    </row>
    <row r="40" spans="1:4" ht="15.75" customHeight="1" x14ac:dyDescent="0.3">
      <c r="A40" s="3" t="s">
        <v>115</v>
      </c>
      <c r="B40" s="3">
        <f>SUMIF('Raw Data'!F:F,A40,'Raw Data'!H:H)</f>
        <v>39</v>
      </c>
      <c r="C40" s="3">
        <f>COUNTIF('Raw Data'!F:F,A40)</f>
        <v>14</v>
      </c>
      <c r="D40" s="4">
        <f>SUMIF('Raw Data'!F:F,A40,'Raw Data'!N:N)</f>
        <v>3119.6099999999992</v>
      </c>
    </row>
    <row r="41" spans="1:4" ht="15.75" customHeight="1" x14ac:dyDescent="0.3">
      <c r="A41" s="5" t="s">
        <v>32</v>
      </c>
      <c r="B41" s="5">
        <f>SUMIF('Raw Data'!F:F,A41,'Raw Data'!H:H)</f>
        <v>87</v>
      </c>
      <c r="C41" s="5">
        <f>COUNTIF('Raw Data'!F:F,A41)</f>
        <v>29</v>
      </c>
      <c r="D41" s="6">
        <f>SUMIF('Raw Data'!F:F,A41,'Raw Data'!N:N)</f>
        <v>5219.1299999999974</v>
      </c>
    </row>
    <row r="42" spans="1:4" ht="15.75" customHeight="1" x14ac:dyDescent="0.3">
      <c r="A42" s="3" t="s">
        <v>127</v>
      </c>
      <c r="B42" s="3">
        <f>SUMIF('Raw Data'!F:F,A42,'Raw Data'!H:H)</f>
        <v>52</v>
      </c>
      <c r="C42" s="3">
        <f>COUNTIF('Raw Data'!F:F,A42)</f>
        <v>15</v>
      </c>
      <c r="D42" s="4">
        <f>SUMIF('Raw Data'!F:F,A42,'Raw Data'!N:N)</f>
        <v>10399.479999999998</v>
      </c>
    </row>
    <row r="43" spans="1:4" ht="15.75" customHeight="1" x14ac:dyDescent="0.3">
      <c r="A43" s="5" t="s">
        <v>106</v>
      </c>
      <c r="B43" s="5">
        <f>SUMIF('Raw Data'!F:F,A43,'Raw Data'!H:H)</f>
        <v>78</v>
      </c>
      <c r="C43" s="5">
        <f>COUNTIF('Raw Data'!F:F,A43)</f>
        <v>26</v>
      </c>
      <c r="D43" s="6">
        <f>SUMIF('Raw Data'!F:F,A43,'Raw Data'!N:N)</f>
        <v>23399.22</v>
      </c>
    </row>
    <row r="44" spans="1:4" ht="15.75" customHeight="1" x14ac:dyDescent="0.3">
      <c r="A44" s="3" t="s">
        <v>45</v>
      </c>
      <c r="B44" s="3">
        <f>SUMIF('Raw Data'!F:F,A44,'Raw Data'!H:H)</f>
        <v>102</v>
      </c>
      <c r="C44" s="3">
        <f>COUNTIF('Raw Data'!F:F,A44)</f>
        <v>35</v>
      </c>
      <c r="D44" s="4">
        <f>SUMIF('Raw Data'!F:F,A44,'Raw Data'!N:N)</f>
        <v>15298.979999999994</v>
      </c>
    </row>
    <row r="45" spans="1:4" ht="15.75" customHeight="1" x14ac:dyDescent="0.3">
      <c r="A45" s="5" t="s">
        <v>18</v>
      </c>
      <c r="B45" s="5">
        <f>SUMIF('Raw Data'!F:F,A45,'Raw Data'!H:H)</f>
        <v>88</v>
      </c>
      <c r="C45" s="5">
        <f>COUNTIF('Raw Data'!F:F,A45)</f>
        <v>26</v>
      </c>
      <c r="D45" s="6">
        <f>SUMIF('Raw Data'!F:F,A45,'Raw Data'!N:N)</f>
        <v>21999.119999999999</v>
      </c>
    </row>
    <row r="46" spans="1:4" ht="15.75" customHeight="1" x14ac:dyDescent="0.3">
      <c r="A46" s="3" t="s">
        <v>118</v>
      </c>
      <c r="B46" s="3">
        <f>SUMIF('Raw Data'!F:F,A46,'Raw Data'!H:H)</f>
        <v>89</v>
      </c>
      <c r="C46" s="3">
        <f>COUNTIF('Raw Data'!F:F,A46)</f>
        <v>34</v>
      </c>
      <c r="D46" s="4">
        <f>SUMIF('Raw Data'!F:F,A46,'Raw Data'!N:N)</f>
        <v>8009.1099999999969</v>
      </c>
    </row>
    <row r="48" spans="1:4" ht="14.25" customHeight="1" x14ac:dyDescent="0.3">
      <c r="A48" s="8" t="s">
        <v>417</v>
      </c>
      <c r="B48" s="9" t="str">
        <f>INDEX(A37:A46,MATCH(MAX(B37:B46),B37:B46,0))</f>
        <v>Bookshelf</v>
      </c>
    </row>
    <row r="50" spans="1:3" ht="24" customHeight="1" x14ac:dyDescent="0.3">
      <c r="A50" s="56" t="s">
        <v>418</v>
      </c>
      <c r="B50" s="56"/>
      <c r="C50" s="56"/>
    </row>
    <row r="51" spans="1:3" ht="21.75" customHeight="1" x14ac:dyDescent="0.3">
      <c r="A51" s="7" t="s">
        <v>419</v>
      </c>
      <c r="B51" s="7" t="s">
        <v>420</v>
      </c>
      <c r="C51" s="7" t="s">
        <v>421</v>
      </c>
    </row>
    <row r="52" spans="1:3" ht="15.75" customHeight="1" x14ac:dyDescent="0.3">
      <c r="A52" s="3" t="s">
        <v>25</v>
      </c>
      <c r="B52" s="3" t="s">
        <v>30</v>
      </c>
      <c r="C52" s="3" t="str">
        <f t="shared" ref="C52:C63" si="0">IFERROR(IF(COUNTIF($B$52:$B$63,A52)&gt;0,A52,""),"")</f>
        <v/>
      </c>
    </row>
    <row r="53" spans="1:3" ht="15.75" customHeight="1" x14ac:dyDescent="0.3">
      <c r="A53" s="5" t="s">
        <v>39</v>
      </c>
      <c r="B53" s="5" t="s">
        <v>49</v>
      </c>
      <c r="C53" s="5" t="str">
        <f t="shared" si="0"/>
        <v/>
      </c>
    </row>
    <row r="54" spans="1:3" ht="15.75" customHeight="1" x14ac:dyDescent="0.3">
      <c r="A54" s="3" t="s">
        <v>43</v>
      </c>
      <c r="B54" s="3" t="s">
        <v>60</v>
      </c>
      <c r="C54" s="3" t="str">
        <f t="shared" si="0"/>
        <v/>
      </c>
    </row>
    <row r="55" spans="1:3" ht="15.75" customHeight="1" x14ac:dyDescent="0.3">
      <c r="A55" s="5" t="s">
        <v>66</v>
      </c>
      <c r="B55" s="5" t="s">
        <v>69</v>
      </c>
      <c r="C55" s="5" t="str">
        <f t="shared" si="0"/>
        <v/>
      </c>
    </row>
    <row r="56" spans="1:3" ht="15.75" customHeight="1" x14ac:dyDescent="0.3">
      <c r="A56" s="3" t="s">
        <v>73</v>
      </c>
      <c r="B56" s="3" t="s">
        <v>76</v>
      </c>
      <c r="C56" s="3" t="str">
        <f t="shared" si="0"/>
        <v/>
      </c>
    </row>
    <row r="57" spans="1:3" ht="15.75" customHeight="1" x14ac:dyDescent="0.3">
      <c r="A57" s="5" t="s">
        <v>87</v>
      </c>
      <c r="B57" s="5" t="s">
        <v>84</v>
      </c>
      <c r="C57" s="5" t="str">
        <f t="shared" si="0"/>
        <v>Mark Carter</v>
      </c>
    </row>
    <row r="58" spans="1:3" ht="15.75" customHeight="1" x14ac:dyDescent="0.3">
      <c r="A58" s="3" t="s">
        <v>94</v>
      </c>
      <c r="B58" s="3" t="s">
        <v>87</v>
      </c>
      <c r="C58" s="3" t="str">
        <f t="shared" si="0"/>
        <v/>
      </c>
    </row>
    <row r="59" spans="1:3" ht="15.75" customHeight="1" x14ac:dyDescent="0.3">
      <c r="A59" s="5" t="s">
        <v>113</v>
      </c>
      <c r="B59" s="5" t="s">
        <v>100</v>
      </c>
      <c r="C59" s="5" t="str">
        <f t="shared" si="0"/>
        <v/>
      </c>
    </row>
    <row r="60" spans="1:3" ht="15.75" customHeight="1" x14ac:dyDescent="0.3">
      <c r="A60" s="3" t="s">
        <v>100</v>
      </c>
      <c r="B60" s="3" t="s">
        <v>103</v>
      </c>
      <c r="C60" s="3" t="str">
        <f t="shared" si="0"/>
        <v>Patricia Moore</v>
      </c>
    </row>
    <row r="61" spans="1:3" ht="15.75" customHeight="1" x14ac:dyDescent="0.3">
      <c r="A61" s="5" t="s">
        <v>133</v>
      </c>
      <c r="B61" s="5" t="s">
        <v>109</v>
      </c>
      <c r="C61" s="5" t="str">
        <f t="shared" si="0"/>
        <v/>
      </c>
    </row>
    <row r="62" spans="1:3" ht="15.75" customHeight="1" x14ac:dyDescent="0.3">
      <c r="A62" s="3" t="s">
        <v>30</v>
      </c>
      <c r="B62" s="3" t="s">
        <v>121</v>
      </c>
      <c r="C62" s="3" t="str">
        <f t="shared" si="0"/>
        <v>Kevin Scott</v>
      </c>
    </row>
    <row r="63" spans="1:3" ht="15.75" customHeight="1" x14ac:dyDescent="0.3">
      <c r="A63" s="5" t="s">
        <v>139</v>
      </c>
      <c r="B63" s="5" t="s">
        <v>124</v>
      </c>
      <c r="C63" s="5" t="str">
        <f t="shared" si="0"/>
        <v/>
      </c>
    </row>
    <row r="66" spans="1:7" ht="24" customHeight="1" x14ac:dyDescent="0.3">
      <c r="A66" s="56" t="s">
        <v>426</v>
      </c>
      <c r="B66" s="56"/>
      <c r="C66" s="56"/>
      <c r="D66" s="56"/>
    </row>
    <row r="67" spans="1:7" ht="21.75" customHeight="1" x14ac:dyDescent="0.3">
      <c r="A67" s="7" t="s">
        <v>400</v>
      </c>
      <c r="B67" s="7" t="s">
        <v>401</v>
      </c>
      <c r="C67" s="7" t="s">
        <v>427</v>
      </c>
      <c r="D67" s="7" t="s">
        <v>428</v>
      </c>
    </row>
    <row r="68" spans="1:7" ht="15.75" customHeight="1" x14ac:dyDescent="0.3">
      <c r="A68" s="3" t="s">
        <v>429</v>
      </c>
      <c r="B68" s="10" t="e">
        <f>SLOPE('Raw Data'!#REF!,'Raw Data'!H2:H251)</f>
        <v>#REF!</v>
      </c>
      <c r="C68" s="3" t="s">
        <v>430</v>
      </c>
      <c r="D68" s="3" t="s">
        <v>431</v>
      </c>
    </row>
    <row r="69" spans="1:7" ht="15.75" customHeight="1" x14ac:dyDescent="0.3">
      <c r="A69" s="5" t="s">
        <v>432</v>
      </c>
      <c r="B69" s="11" t="e">
        <f>INTERCEPT('Raw Data'!#REF!,'Raw Data'!H2:H251)</f>
        <v>#REF!</v>
      </c>
      <c r="C69" s="5" t="s">
        <v>433</v>
      </c>
      <c r="D69" s="5" t="s">
        <v>434</v>
      </c>
    </row>
    <row r="70" spans="1:7" ht="15.75" customHeight="1" x14ac:dyDescent="0.3">
      <c r="A70" s="3" t="s">
        <v>435</v>
      </c>
      <c r="B70" s="10" t="e">
        <f>RSQ('Raw Data'!#REF!,'Raw Data'!H2:H251)</f>
        <v>#REF!</v>
      </c>
      <c r="C70" s="3" t="s">
        <v>436</v>
      </c>
      <c r="D70" s="3" t="s">
        <v>437</v>
      </c>
    </row>
    <row r="71" spans="1:7" ht="15.75" customHeight="1" x14ac:dyDescent="0.3">
      <c r="A71" s="5" t="s">
        <v>438</v>
      </c>
      <c r="B71" s="11" t="e">
        <f>CORREL('Raw Data'!#REF!,'Raw Data'!H2:H251)</f>
        <v>#REF!</v>
      </c>
      <c r="C71" s="5" t="s">
        <v>439</v>
      </c>
      <c r="D71" s="5" t="s">
        <v>440</v>
      </c>
    </row>
    <row r="72" spans="1:7" ht="14.25" customHeight="1" x14ac:dyDescent="0.3">
      <c r="A72" s="3" t="s">
        <v>441</v>
      </c>
      <c r="B72" s="10" t="e">
        <f>B68+B68*3</f>
        <v>#REF!</v>
      </c>
      <c r="C72" s="3" t="s">
        <v>442</v>
      </c>
      <c r="D72" s="3" t="s">
        <v>443</v>
      </c>
    </row>
    <row r="74" spans="1:7" ht="24" customHeight="1" x14ac:dyDescent="0.3">
      <c r="A74" s="56" t="s">
        <v>407</v>
      </c>
      <c r="B74" s="56"/>
      <c r="C74" s="56"/>
      <c r="D74" s="56"/>
      <c r="E74" s="56"/>
      <c r="F74" s="56"/>
      <c r="G74" s="56"/>
    </row>
    <row r="75" spans="1:7" ht="21.75" customHeight="1" x14ac:dyDescent="0.3">
      <c r="A75" s="7" t="s">
        <v>3</v>
      </c>
      <c r="B75" s="7" t="s">
        <v>2</v>
      </c>
      <c r="C75" s="7" t="s">
        <v>408</v>
      </c>
      <c r="D75" s="7" t="s">
        <v>409</v>
      </c>
      <c r="E75" s="7" t="s">
        <v>410</v>
      </c>
      <c r="F75" s="7" t="s">
        <v>411</v>
      </c>
      <c r="G75" s="7" t="s">
        <v>412</v>
      </c>
    </row>
    <row r="76" spans="1:7" ht="15.75" customHeight="1" x14ac:dyDescent="0.3">
      <c r="A76" s="3" t="s">
        <v>87</v>
      </c>
      <c r="B76" s="3" t="s">
        <v>86</v>
      </c>
      <c r="C76" s="4">
        <f>SUMIF('Raw Data'!D:D,A76,'Raw Data'!N:N)</f>
        <v>15659.65</v>
      </c>
      <c r="D76" s="3">
        <f>COUNTIF('Raw Data'!D:D,A76)</f>
        <v>12</v>
      </c>
      <c r="E76" s="4">
        <f t="shared" ref="E76:E90" si="1">IFERROR(C76/D76,0)</f>
        <v>1304.9708333333333</v>
      </c>
      <c r="F76" s="3" t="s">
        <v>36</v>
      </c>
      <c r="G76" s="3" t="str">
        <f>UPPER(LEFT(A76,1))&amp;"."&amp;UPPER(MID(A76,FIND(" ",A76)+1,1))&amp;"."</f>
        <v>M.C.</v>
      </c>
    </row>
    <row r="77" spans="1:7" ht="15.75" customHeight="1" x14ac:dyDescent="0.3">
      <c r="A77" s="5" t="s">
        <v>124</v>
      </c>
      <c r="B77" s="5" t="s">
        <v>123</v>
      </c>
      <c r="C77" s="6">
        <f>SUMIF('Raw Data'!D:D,A77,'Raw Data'!N:N)</f>
        <v>11919.77</v>
      </c>
      <c r="D77" s="5">
        <f>COUNTIF('Raw Data'!D:D,A77)</f>
        <v>6</v>
      </c>
      <c r="E77" s="6">
        <f t="shared" si="1"/>
        <v>1986.6283333333333</v>
      </c>
      <c r="F77" s="5" t="s">
        <v>27</v>
      </c>
      <c r="G77" s="5" t="str">
        <f t="shared" ref="G76:G90" si="2">UPPER(LEFT(A77,1))&amp;"."&amp;UPPER(MID(A77,FIND(" ",A77)+1,1))&amp;"."</f>
        <v>E.M.</v>
      </c>
    </row>
    <row r="78" spans="1:7" ht="15.75" customHeight="1" x14ac:dyDescent="0.3">
      <c r="A78" s="3" t="s">
        <v>66</v>
      </c>
      <c r="B78" s="3" t="s">
        <v>65</v>
      </c>
      <c r="C78" s="4">
        <f>SUMIF('Raw Data'!D:D,A78,'Raw Data'!N:N)</f>
        <v>8009.7699999999995</v>
      </c>
      <c r="D78" s="3">
        <f>COUNTIF('Raw Data'!D:D,A78)</f>
        <v>8</v>
      </c>
      <c r="E78" s="4">
        <f t="shared" si="1"/>
        <v>1001.2212499999999</v>
      </c>
      <c r="F78" s="3" t="s">
        <v>27</v>
      </c>
      <c r="G78" s="3" t="str">
        <f t="shared" si="2"/>
        <v>K.H.</v>
      </c>
    </row>
    <row r="79" spans="1:7" ht="15.75" customHeight="1" x14ac:dyDescent="0.3">
      <c r="A79" s="5" t="s">
        <v>97</v>
      </c>
      <c r="B79" s="5" t="s">
        <v>96</v>
      </c>
      <c r="C79" s="6">
        <f>SUMIF('Raw Data'!D:D,A79,'Raw Data'!N:N)</f>
        <v>10649.8</v>
      </c>
      <c r="D79" s="5">
        <f>COUNTIF('Raw Data'!D:D,A79)</f>
        <v>5</v>
      </c>
      <c r="E79" s="6">
        <f t="shared" si="1"/>
        <v>2129.96</v>
      </c>
      <c r="F79" s="5" t="s">
        <v>36</v>
      </c>
      <c r="G79" s="5" t="str">
        <f t="shared" si="2"/>
        <v>B.Y.</v>
      </c>
    </row>
    <row r="80" spans="1:7" ht="15.75" customHeight="1" x14ac:dyDescent="0.3">
      <c r="A80" s="3" t="s">
        <v>25</v>
      </c>
      <c r="B80" s="3" t="s">
        <v>24</v>
      </c>
      <c r="C80" s="4">
        <f>SUMIF('Raw Data'!D:D,A80,'Raw Data'!N:N)</f>
        <v>6949.84</v>
      </c>
      <c r="D80" s="3">
        <f>COUNTIF('Raw Data'!D:D,A80)</f>
        <v>5</v>
      </c>
      <c r="E80" s="4">
        <f t="shared" si="1"/>
        <v>1389.9680000000001</v>
      </c>
      <c r="F80" s="3" t="s">
        <v>36</v>
      </c>
      <c r="G80" s="3" t="str">
        <f t="shared" si="2"/>
        <v>J.J.</v>
      </c>
    </row>
    <row r="81" spans="1:7" ht="15.75" customHeight="1" x14ac:dyDescent="0.3">
      <c r="A81" s="5" t="s">
        <v>16</v>
      </c>
      <c r="B81" s="5" t="s">
        <v>15</v>
      </c>
      <c r="C81" s="6">
        <f>SUMIF('Raw Data'!D:D,A81,'Raw Data'!N:N)</f>
        <v>8309.739999999998</v>
      </c>
      <c r="D81" s="5">
        <f>COUNTIF('Raw Data'!D:D,A81)</f>
        <v>8</v>
      </c>
      <c r="E81" s="6">
        <f t="shared" si="1"/>
        <v>1038.7174999999997</v>
      </c>
      <c r="F81" s="5" t="s">
        <v>36</v>
      </c>
      <c r="G81" s="5" t="str">
        <f t="shared" si="2"/>
        <v>P.B.</v>
      </c>
    </row>
    <row r="82" spans="1:7" x14ac:dyDescent="0.3">
      <c r="A82" s="3" t="s">
        <v>159</v>
      </c>
      <c r="B82" s="3" t="s">
        <v>158</v>
      </c>
      <c r="C82" s="4">
        <f>SUMIF('Raw Data'!D:D,A82,'Raw Data'!N:N)</f>
        <v>5649.84</v>
      </c>
      <c r="D82" s="3">
        <f>COUNTIF('Raw Data'!D:D,A82)</f>
        <v>5</v>
      </c>
      <c r="E82" s="4">
        <f t="shared" si="1"/>
        <v>1129.9680000000001</v>
      </c>
      <c r="F82" s="3" t="s">
        <v>27</v>
      </c>
      <c r="G82" s="3" t="str">
        <f t="shared" si="2"/>
        <v>B.C.</v>
      </c>
    </row>
    <row r="83" spans="1:7" x14ac:dyDescent="0.3">
      <c r="A83" s="5" t="s">
        <v>121</v>
      </c>
      <c r="B83" s="5" t="s">
        <v>120</v>
      </c>
      <c r="C83" s="6">
        <f>SUMIF('Raw Data'!D:D,A83,'Raw Data'!N:N)</f>
        <v>6459.79</v>
      </c>
      <c r="D83" s="5">
        <f>COUNTIF('Raw Data'!D:D,A83)</f>
        <v>7</v>
      </c>
      <c r="E83" s="6">
        <f t="shared" si="1"/>
        <v>922.8271428571428</v>
      </c>
      <c r="F83" s="5" t="s">
        <v>36</v>
      </c>
      <c r="G83" s="5" t="str">
        <f t="shared" si="2"/>
        <v>H.R.</v>
      </c>
    </row>
    <row r="84" spans="1:7" ht="16.8" customHeight="1" x14ac:dyDescent="0.3">
      <c r="A84" s="3" t="s">
        <v>148</v>
      </c>
      <c r="B84" s="3" t="s">
        <v>147</v>
      </c>
      <c r="C84" s="4">
        <f>SUMIF('Raw Data'!D:D,A84,'Raw Data'!N:N)</f>
        <v>7309.7999999999993</v>
      </c>
      <c r="D84" s="3">
        <f>COUNTIF('Raw Data'!D:D,A84)</f>
        <v>7</v>
      </c>
      <c r="E84" s="4">
        <f t="shared" si="1"/>
        <v>1044.2571428571428</v>
      </c>
      <c r="F84" s="3" t="s">
        <v>36</v>
      </c>
      <c r="G84" s="3" t="str">
        <f t="shared" si="2"/>
        <v>D.K.</v>
      </c>
    </row>
    <row r="85" spans="1:7" x14ac:dyDescent="0.3">
      <c r="A85" s="5" t="s">
        <v>227</v>
      </c>
      <c r="B85" s="5" t="s">
        <v>226</v>
      </c>
      <c r="C85" s="6">
        <f>SUMIF('Raw Data'!D:D,A85,'Raw Data'!N:N)</f>
        <v>6989.7699999999986</v>
      </c>
      <c r="D85" s="5">
        <f>COUNTIF('Raw Data'!D:D,A85)</f>
        <v>8</v>
      </c>
      <c r="E85" s="6">
        <f t="shared" si="1"/>
        <v>873.72124999999983</v>
      </c>
      <c r="F85" s="5" t="s">
        <v>27</v>
      </c>
      <c r="G85" s="5" t="str">
        <f t="shared" si="2"/>
        <v>L.R.</v>
      </c>
    </row>
    <row r="86" spans="1:7" x14ac:dyDescent="0.3">
      <c r="A86" s="3" t="s">
        <v>73</v>
      </c>
      <c r="B86" s="3" t="s">
        <v>72</v>
      </c>
      <c r="C86" s="4">
        <f>SUMIF('Raw Data'!D:D,A86,'Raw Data'!N:N)</f>
        <v>5949.85</v>
      </c>
      <c r="D86" s="3">
        <f>COUNTIF('Raw Data'!D:D,A86)</f>
        <v>5</v>
      </c>
      <c r="E86" s="4">
        <f t="shared" si="1"/>
        <v>1189.97</v>
      </c>
      <c r="F86" s="3" t="s">
        <v>22</v>
      </c>
      <c r="G86" s="3" t="str">
        <f t="shared" si="2"/>
        <v>P.R.</v>
      </c>
    </row>
    <row r="87" spans="1:7" x14ac:dyDescent="0.3">
      <c r="A87" s="5" t="s">
        <v>145</v>
      </c>
      <c r="B87" s="5" t="s">
        <v>144</v>
      </c>
      <c r="C87" s="6">
        <f>SUMIF('Raw Data'!D:D,A87,'Raw Data'!N:N)</f>
        <v>5519.8899999999994</v>
      </c>
      <c r="D87" s="5">
        <f>COUNTIF('Raw Data'!D:D,A87)</f>
        <v>4</v>
      </c>
      <c r="E87" s="6">
        <f t="shared" si="1"/>
        <v>1379.9724999999999</v>
      </c>
      <c r="F87" s="5" t="s">
        <v>27</v>
      </c>
      <c r="G87" s="5" t="str">
        <f t="shared" si="2"/>
        <v>H.M.</v>
      </c>
    </row>
    <row r="88" spans="1:7" x14ac:dyDescent="0.3">
      <c r="A88" s="3" t="s">
        <v>49</v>
      </c>
      <c r="B88" s="3" t="s">
        <v>48</v>
      </c>
      <c r="C88" s="4">
        <f>SUMIF('Raw Data'!D:D,A88,'Raw Data'!N:N)</f>
        <v>8269.7900000000009</v>
      </c>
      <c r="D88" s="3">
        <f>COUNTIF('Raw Data'!D:D,A88)</f>
        <v>6</v>
      </c>
      <c r="E88" s="4">
        <f t="shared" si="1"/>
        <v>1378.2983333333334</v>
      </c>
      <c r="F88" s="3" t="s">
        <v>27</v>
      </c>
      <c r="G88" s="3" t="str">
        <f t="shared" si="2"/>
        <v>D.N.</v>
      </c>
    </row>
    <row r="89" spans="1:7" x14ac:dyDescent="0.3">
      <c r="A89" s="5" t="s">
        <v>197</v>
      </c>
      <c r="B89" s="5" t="s">
        <v>196</v>
      </c>
      <c r="C89" s="6">
        <f>SUMIF('Raw Data'!D:D,A89,'Raw Data'!N:N)</f>
        <v>6379.87</v>
      </c>
      <c r="D89" s="5">
        <f>COUNTIF('Raw Data'!D:D,A89)</f>
        <v>4</v>
      </c>
      <c r="E89" s="6">
        <f t="shared" si="1"/>
        <v>1594.9675</v>
      </c>
      <c r="F89" s="5" t="s">
        <v>22</v>
      </c>
      <c r="G89" s="5" t="str">
        <f t="shared" si="2"/>
        <v>G.M.</v>
      </c>
    </row>
    <row r="90" spans="1:7" x14ac:dyDescent="0.3">
      <c r="A90" s="3" t="s">
        <v>100</v>
      </c>
      <c r="B90" s="3" t="s">
        <v>99</v>
      </c>
      <c r="C90" s="4">
        <f>SUMIF('Raw Data'!D:D,A90,'Raw Data'!N:N)</f>
        <v>9799.73</v>
      </c>
      <c r="D90" s="3">
        <f>COUNTIF('Raw Data'!D:D,A90)</f>
        <v>8</v>
      </c>
      <c r="E90" s="4">
        <f t="shared" si="1"/>
        <v>1224.9662499999999</v>
      </c>
      <c r="F90" s="3" t="s">
        <v>27</v>
      </c>
      <c r="G90" s="3" t="str">
        <f t="shared" si="2"/>
        <v>P.M.</v>
      </c>
    </row>
    <row r="92" spans="1:7" ht="14.4" customHeight="1" x14ac:dyDescent="0.3">
      <c r="A92" s="62" t="s">
        <v>471</v>
      </c>
      <c r="B92" s="62"/>
      <c r="C92" s="62"/>
      <c r="D92" s="62"/>
    </row>
    <row r="93" spans="1:7" x14ac:dyDescent="0.3">
      <c r="A93" s="7" t="s">
        <v>10</v>
      </c>
      <c r="B93" s="7" t="s">
        <v>416</v>
      </c>
      <c r="C93" s="7" t="s">
        <v>424</v>
      </c>
      <c r="D93" s="7" t="s">
        <v>472</v>
      </c>
    </row>
    <row r="94" spans="1:7" x14ac:dyDescent="0.3">
      <c r="A94" s="3" t="s">
        <v>40</v>
      </c>
      <c r="B94" s="4">
        <f>SUMIF('Raw Data'!K:K,A94,'Raw Data'!N:N)</f>
        <v>50808.310000000012</v>
      </c>
      <c r="C94" s="3">
        <f>COUNTIF('Raw Data'!K:K,A94)</f>
        <v>59</v>
      </c>
      <c r="D94" s="4">
        <f>IFERROR(B94/C94,0)</f>
        <v>861.15779661016973</v>
      </c>
    </row>
    <row r="95" spans="1:7" x14ac:dyDescent="0.3">
      <c r="A95" s="5" t="s">
        <v>35</v>
      </c>
      <c r="B95" s="6">
        <f>SUMIF('Raw Data'!K:K,A95,'Raw Data'!N:N)</f>
        <v>36398.750000000007</v>
      </c>
      <c r="C95" s="5">
        <f>COUNTIF('Raw Data'!K:K,A95)</f>
        <v>42</v>
      </c>
      <c r="D95" s="6">
        <f>IFERROR(B95/C95,0)</f>
        <v>866.63690476190493</v>
      </c>
    </row>
    <row r="96" spans="1:7" x14ac:dyDescent="0.3">
      <c r="A96" s="3" t="s">
        <v>63</v>
      </c>
      <c r="B96" s="4">
        <f>SUMIF('Raw Data'!K:K,A96,'Raw Data'!N:N)</f>
        <v>59288.389999999992</v>
      </c>
      <c r="C96" s="3">
        <f>COUNTIF('Raw Data'!K:K,A96)</f>
        <v>48</v>
      </c>
      <c r="D96" s="4">
        <f>IFERROR(B96/C96,0)</f>
        <v>1235.1747916666666</v>
      </c>
    </row>
    <row r="97" spans="1:4" x14ac:dyDescent="0.3">
      <c r="A97" s="5" t="s">
        <v>50</v>
      </c>
      <c r="B97" s="6">
        <f>SUMIF('Raw Data'!K:K,A97,'Raw Data'!N:N)</f>
        <v>41408.680000000015</v>
      </c>
      <c r="C97" s="5">
        <f>COUNTIF('Raw Data'!K:K,A97)</f>
        <v>47</v>
      </c>
      <c r="D97" s="6">
        <f>IFERROR(B97/C97,0)</f>
        <v>881.03574468085139</v>
      </c>
    </row>
    <row r="98" spans="1:4" x14ac:dyDescent="0.3">
      <c r="A98" s="3" t="s">
        <v>21</v>
      </c>
      <c r="B98" s="4">
        <f>SUMIF('Raw Data'!K:K,A98,'Raw Data'!N:N)</f>
        <v>41288.340000000018</v>
      </c>
      <c r="C98" s="3">
        <f>COUNTIF('Raw Data'!K:K,A98)</f>
        <v>54</v>
      </c>
      <c r="D98" s="4">
        <f>IFERROR(B98/C98,0)</f>
        <v>764.59888888888918</v>
      </c>
    </row>
  </sheetData>
  <mergeCells count="9">
    <mergeCell ref="A74:G74"/>
    <mergeCell ref="A14:D14"/>
    <mergeCell ref="A92:D92"/>
    <mergeCell ref="A66:D66"/>
    <mergeCell ref="A50:C50"/>
    <mergeCell ref="A35:D35"/>
    <mergeCell ref="A29:D29"/>
    <mergeCell ref="A22:C22"/>
    <mergeCell ref="A1:B1"/>
  </mergeCells>
  <conditionalFormatting sqref="B94:B98">
    <cfRule type="iconSet" priority="1">
      <iconSet iconSet="3Arrows">
        <cfvo type="percent" val="0"/>
        <cfvo type="percent" val="33"/>
        <cfvo type="percent" val="67"/>
      </iconSet>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7F79A-C978-44A3-80FC-726D5B126D6C}">
  <dimension ref="A1:B89"/>
  <sheetViews>
    <sheetView zoomScale="85" zoomScaleNormal="85" workbookViewId="0">
      <selection activeCell="Q50" sqref="Q50"/>
    </sheetView>
  </sheetViews>
  <sheetFormatPr defaultRowHeight="14.4" x14ac:dyDescent="0.3"/>
  <cols>
    <col min="1" max="1" width="11.44140625" bestFit="1" customWidth="1"/>
    <col min="2" max="2" width="8.5546875" bestFit="1" customWidth="1"/>
    <col min="3" max="3" width="4" bestFit="1" customWidth="1"/>
    <col min="4" max="4" width="4.5546875" bestFit="1" customWidth="1"/>
    <col min="5" max="5" width="4.109375" bestFit="1" customWidth="1"/>
    <col min="6" max="6" width="4.77734375" bestFit="1" customWidth="1"/>
    <col min="7" max="7" width="3.88671875" bestFit="1" customWidth="1"/>
    <col min="8" max="8" width="3.21875" bestFit="1" customWidth="1"/>
    <col min="9" max="9" width="4.44140625" bestFit="1" customWidth="1"/>
    <col min="10" max="10" width="4.109375" bestFit="1" customWidth="1"/>
    <col min="11" max="11" width="4" bestFit="1" customWidth="1"/>
    <col min="12" max="12" width="11.109375" customWidth="1"/>
    <col min="13" max="13" width="4.109375" bestFit="1" customWidth="1"/>
    <col min="14" max="14" width="11.44140625" bestFit="1" customWidth="1"/>
    <col min="15" max="163" width="10.5546875" bestFit="1" customWidth="1"/>
    <col min="164" max="164" width="11.44140625" bestFit="1" customWidth="1"/>
  </cols>
  <sheetData>
    <row r="1" spans="1:2" x14ac:dyDescent="0.3">
      <c r="A1" s="74" t="s">
        <v>10</v>
      </c>
      <c r="B1" t="s">
        <v>416</v>
      </c>
    </row>
    <row r="2" spans="1:2" x14ac:dyDescent="0.3">
      <c r="A2" s="75" t="s">
        <v>21</v>
      </c>
      <c r="B2" s="76">
        <v>1999.71</v>
      </c>
    </row>
    <row r="3" spans="1:2" x14ac:dyDescent="0.3">
      <c r="A3" s="75" t="s">
        <v>63</v>
      </c>
      <c r="B3" s="76">
        <v>2239.67</v>
      </c>
    </row>
    <row r="4" spans="1:2" x14ac:dyDescent="0.3">
      <c r="A4" s="75" t="s">
        <v>40</v>
      </c>
      <c r="B4" s="76">
        <v>1119.8399999999999</v>
      </c>
    </row>
    <row r="5" spans="1:2" x14ac:dyDescent="0.3">
      <c r="A5" s="75" t="s">
        <v>35</v>
      </c>
      <c r="B5" s="76">
        <v>1099.83</v>
      </c>
    </row>
    <row r="6" spans="1:2" x14ac:dyDescent="0.3">
      <c r="A6" s="75" t="s">
        <v>50</v>
      </c>
      <c r="B6" s="76">
        <v>1879.69</v>
      </c>
    </row>
    <row r="7" spans="1:2" x14ac:dyDescent="0.3">
      <c r="A7" s="75" t="s">
        <v>477</v>
      </c>
      <c r="B7" s="76">
        <v>8338.7399999999961</v>
      </c>
    </row>
    <row r="20" spans="1:2" x14ac:dyDescent="0.3">
      <c r="A20" s="74" t="s">
        <v>473</v>
      </c>
      <c r="B20" t="s">
        <v>416</v>
      </c>
    </row>
    <row r="21" spans="1:2" x14ac:dyDescent="0.3">
      <c r="A21" s="75" t="s">
        <v>32</v>
      </c>
      <c r="B21" s="76">
        <v>5219.1299999999974</v>
      </c>
    </row>
    <row r="22" spans="1:2" x14ac:dyDescent="0.3">
      <c r="A22" s="75" t="s">
        <v>45</v>
      </c>
      <c r="B22" s="76">
        <v>15298.979999999994</v>
      </c>
    </row>
    <row r="23" spans="1:2" x14ac:dyDescent="0.3">
      <c r="A23" s="75" t="s">
        <v>115</v>
      </c>
      <c r="B23" s="76">
        <v>3119.6099999999992</v>
      </c>
    </row>
    <row r="24" spans="1:2" x14ac:dyDescent="0.3">
      <c r="A24" s="75" t="s">
        <v>106</v>
      </c>
      <c r="B24" s="76">
        <v>23399.22</v>
      </c>
    </row>
    <row r="25" spans="1:2" x14ac:dyDescent="0.3">
      <c r="A25" s="75" t="s">
        <v>53</v>
      </c>
      <c r="B25" s="76">
        <v>7049.5299999999988</v>
      </c>
    </row>
    <row r="26" spans="1:2" x14ac:dyDescent="0.3">
      <c r="A26" s="75" t="s">
        <v>118</v>
      </c>
      <c r="B26" s="76">
        <v>8009.1099999999969</v>
      </c>
    </row>
    <row r="27" spans="1:2" x14ac:dyDescent="0.3">
      <c r="A27" s="75" t="s">
        <v>62</v>
      </c>
      <c r="B27" s="76">
        <v>67499.25</v>
      </c>
    </row>
    <row r="28" spans="1:2" x14ac:dyDescent="0.3">
      <c r="A28" s="75" t="s">
        <v>18</v>
      </c>
      <c r="B28" s="76">
        <v>21999.119999999999</v>
      </c>
    </row>
    <row r="29" spans="1:2" x14ac:dyDescent="0.3">
      <c r="A29" s="75" t="s">
        <v>127</v>
      </c>
      <c r="B29" s="76">
        <v>10399.479999999998</v>
      </c>
    </row>
    <row r="30" spans="1:2" x14ac:dyDescent="0.3">
      <c r="A30" s="75" t="s">
        <v>81</v>
      </c>
      <c r="B30" s="76">
        <v>67199.039999999994</v>
      </c>
    </row>
    <row r="31" spans="1:2" x14ac:dyDescent="0.3">
      <c r="A31" s="75" t="s">
        <v>477</v>
      </c>
      <c r="B31" s="76">
        <v>229192.47000000032</v>
      </c>
    </row>
    <row r="38" spans="1:2" x14ac:dyDescent="0.3">
      <c r="A38" s="74" t="s">
        <v>479</v>
      </c>
      <c r="B38" t="s">
        <v>480</v>
      </c>
    </row>
    <row r="39" spans="1:2" x14ac:dyDescent="0.3">
      <c r="A39" s="75" t="s">
        <v>20</v>
      </c>
      <c r="B39" s="76">
        <v>76</v>
      </c>
    </row>
    <row r="40" spans="1:2" x14ac:dyDescent="0.3">
      <c r="A40" s="75" t="s">
        <v>26</v>
      </c>
      <c r="B40" s="76">
        <v>68</v>
      </c>
    </row>
    <row r="41" spans="1:2" x14ac:dyDescent="0.3">
      <c r="A41" s="75" t="s">
        <v>57</v>
      </c>
      <c r="B41" s="76">
        <v>54</v>
      </c>
    </row>
    <row r="42" spans="1:2" x14ac:dyDescent="0.3">
      <c r="A42" s="75" t="s">
        <v>34</v>
      </c>
      <c r="B42" s="76">
        <v>52</v>
      </c>
    </row>
    <row r="43" spans="1:2" x14ac:dyDescent="0.3">
      <c r="A43" s="75" t="s">
        <v>477</v>
      </c>
      <c r="B43" s="76">
        <v>250</v>
      </c>
    </row>
    <row r="58" spans="1:2" x14ac:dyDescent="0.3">
      <c r="A58" s="74" t="s">
        <v>476</v>
      </c>
      <c r="B58" t="s">
        <v>416</v>
      </c>
    </row>
    <row r="59" spans="1:2" x14ac:dyDescent="0.3">
      <c r="A59" s="75" t="s">
        <v>33</v>
      </c>
      <c r="B59" s="76">
        <v>8338.7399999999961</v>
      </c>
    </row>
    <row r="60" spans="1:2" x14ac:dyDescent="0.3">
      <c r="A60" s="75" t="s">
        <v>19</v>
      </c>
      <c r="B60" s="76">
        <v>171756.05000000013</v>
      </c>
    </row>
    <row r="61" spans="1:2" x14ac:dyDescent="0.3">
      <c r="A61" s="75" t="s">
        <v>46</v>
      </c>
      <c r="B61" s="76">
        <v>49097.680000000015</v>
      </c>
    </row>
    <row r="62" spans="1:2" x14ac:dyDescent="0.3">
      <c r="A62" s="75" t="s">
        <v>477</v>
      </c>
      <c r="B62" s="76">
        <v>229192.47000000032</v>
      </c>
    </row>
    <row r="76" spans="1:2" x14ac:dyDescent="0.3">
      <c r="A76" s="74" t="s">
        <v>493</v>
      </c>
      <c r="B76" t="s">
        <v>478</v>
      </c>
    </row>
    <row r="77" spans="1:2" x14ac:dyDescent="0.3">
      <c r="A77" s="75" t="s">
        <v>490</v>
      </c>
      <c r="B77" s="76">
        <v>25799.15</v>
      </c>
    </row>
    <row r="78" spans="1:2" x14ac:dyDescent="0.3">
      <c r="A78" s="75" t="s">
        <v>491</v>
      </c>
      <c r="B78" s="76">
        <v>16069.380000000001</v>
      </c>
    </row>
    <row r="79" spans="1:2" x14ac:dyDescent="0.3">
      <c r="A79" s="75" t="s">
        <v>492</v>
      </c>
      <c r="B79" s="76">
        <v>19899.379999999997</v>
      </c>
    </row>
    <row r="80" spans="1:2" x14ac:dyDescent="0.3">
      <c r="A80" s="75" t="s">
        <v>481</v>
      </c>
      <c r="B80" s="76">
        <v>27899.160000000007</v>
      </c>
    </row>
    <row r="81" spans="1:2" x14ac:dyDescent="0.3">
      <c r="A81" s="75" t="s">
        <v>482</v>
      </c>
      <c r="B81" s="76">
        <v>17039.349999999999</v>
      </c>
    </row>
    <row r="82" spans="1:2" x14ac:dyDescent="0.3">
      <c r="A82" s="75" t="s">
        <v>483</v>
      </c>
      <c r="B82" s="76">
        <v>19299.45</v>
      </c>
    </row>
    <row r="83" spans="1:2" x14ac:dyDescent="0.3">
      <c r="A83" s="75" t="s">
        <v>484</v>
      </c>
      <c r="B83" s="76">
        <v>18479.399999999994</v>
      </c>
    </row>
    <row r="84" spans="1:2" x14ac:dyDescent="0.3">
      <c r="A84" s="75" t="s">
        <v>485</v>
      </c>
      <c r="B84" s="76">
        <v>15759.429999999997</v>
      </c>
    </row>
    <row r="85" spans="1:2" x14ac:dyDescent="0.3">
      <c r="A85" s="75" t="s">
        <v>486</v>
      </c>
      <c r="B85" s="76">
        <v>12989.509999999998</v>
      </c>
    </row>
    <row r="86" spans="1:2" x14ac:dyDescent="0.3">
      <c r="A86" s="75" t="s">
        <v>487</v>
      </c>
      <c r="B86" s="76">
        <v>20609.52</v>
      </c>
    </row>
    <row r="87" spans="1:2" x14ac:dyDescent="0.3">
      <c r="A87" s="75" t="s">
        <v>488</v>
      </c>
      <c r="B87" s="76">
        <v>12309.439999999999</v>
      </c>
    </row>
    <row r="88" spans="1:2" x14ac:dyDescent="0.3">
      <c r="A88" s="75" t="s">
        <v>489</v>
      </c>
      <c r="B88" s="76">
        <v>23039.3</v>
      </c>
    </row>
    <row r="89" spans="1:2" x14ac:dyDescent="0.3">
      <c r="A89" s="75" t="s">
        <v>477</v>
      </c>
      <c r="B89" s="76">
        <v>229192.47000000032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Analysis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Mansi Pawar</cp:lastModifiedBy>
  <cp:revision>3</cp:revision>
  <dcterms:created xsi:type="dcterms:W3CDTF">2026-05-28T04:12:26Z</dcterms:created>
  <dcterms:modified xsi:type="dcterms:W3CDTF">2026-05-31T09:55:58Z</dcterms:modified>
  <dc:language>en-US</dc:language>
</cp:coreProperties>
</file>